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yclingnz.sharepoint.com/sites/SprintStaff/Shared Documents/Sprint Program/Monitoring/"/>
    </mc:Choice>
  </mc:AlternateContent>
  <xr:revisionPtr revIDLastSave="3057" documentId="13_ncr:1_{788FE2B7-D9BD-4F50-8C3E-78A16E04CC60}" xr6:coauthVersionLast="47" xr6:coauthVersionMax="47" xr10:uidLastSave="{46C4C219-7E08-42B5-9CC1-4C444B19BFE8}"/>
  <bookViews>
    <workbookView xWindow="57480" yWindow="-120" windowWidth="29040" windowHeight="15720" firstSheet="2" activeTab="8" xr2:uid="{920895EB-A512-4C8D-9685-39B292003CB5}"/>
  </bookViews>
  <sheets>
    <sheet name="Anthropometry" sheetId="2" r:id="rId1"/>
    <sheet name="DEXA Breakdown" sheetId="10" r:id="rId2"/>
    <sheet name="CdA Testing" sheetId="3" r:id="rId3"/>
    <sheet name="Performance Profiling" sheetId="7" r:id="rId4"/>
    <sheet name="Power Profiling" sheetId="1" r:id="rId5"/>
    <sheet name="Muscle Architecture" sheetId="6" r:id="rId6"/>
    <sheet name="Fatigue Profiling" sheetId="4" r:id="rId7"/>
    <sheet name="Strength Testing" sheetId="5" r:id="rId8"/>
    <sheet name="PBs" sheetId="9" r:id="rId9"/>
    <sheet name="Watts.CdA Targets" sheetId="8" r:id="rId10"/>
  </sheets>
  <definedNames>
    <definedName name="_xlnm._FilterDatabase" localSheetId="1" hidden="1">'DEXA Breakdown'!$A$1:$Y$1</definedName>
    <definedName name="TablePowerProfile">PowerProfiling[#All]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84" i="2"/>
  <c r="AD184" i="2"/>
  <c r="AC184" i="2"/>
  <c r="AB184" i="2"/>
  <c r="AA184" i="2"/>
  <c r="G184" i="2" s="1"/>
  <c r="Z184" i="2"/>
  <c r="AA424" i="2"/>
  <c r="H424" i="2" s="1"/>
  <c r="Z424" i="2"/>
  <c r="P19" i="10"/>
  <c r="P16" i="10"/>
  <c r="P13" i="10"/>
  <c r="P9" i="10"/>
  <c r="P5" i="10"/>
  <c r="O19" i="10"/>
  <c r="O16" i="10"/>
  <c r="O13" i="10"/>
  <c r="O9" i="10"/>
  <c r="O5" i="10"/>
  <c r="AA405" i="2"/>
  <c r="F405" i="2"/>
  <c r="AD405" i="2"/>
  <c r="AC405" i="2"/>
  <c r="AB405" i="2"/>
  <c r="Z405" i="2"/>
  <c r="AD177" i="2"/>
  <c r="AC177" i="2"/>
  <c r="AB177" i="2"/>
  <c r="AA177" i="2"/>
  <c r="G177" i="2" s="1"/>
  <c r="Z177" i="2"/>
  <c r="O177" i="2"/>
  <c r="F177" i="2"/>
  <c r="AD182" i="2"/>
  <c r="AC182" i="2"/>
  <c r="AB182" i="2"/>
  <c r="AA182" i="2"/>
  <c r="Z182" i="2"/>
  <c r="O182" i="2"/>
  <c r="F182" i="2"/>
  <c r="AD171" i="2"/>
  <c r="AC171" i="2"/>
  <c r="AB171" i="2"/>
  <c r="AA171" i="2"/>
  <c r="H171" i="2" s="1"/>
  <c r="Z171" i="2"/>
  <c r="O171" i="2"/>
  <c r="F171" i="2"/>
  <c r="AA422" i="2"/>
  <c r="H422" i="2" s="1"/>
  <c r="Z422" i="2"/>
  <c r="O422" i="2"/>
  <c r="AB422" i="2"/>
  <c r="AC422" i="2"/>
  <c r="AD422" i="2"/>
  <c r="Z401" i="2"/>
  <c r="O401" i="2"/>
  <c r="AB401" i="2"/>
  <c r="AC401" i="2"/>
  <c r="AD401" i="2"/>
  <c r="AD399" i="2"/>
  <c r="AC399" i="2"/>
  <c r="AB399" i="2"/>
  <c r="AA399" i="2"/>
  <c r="H399" i="2" s="1"/>
  <c r="Z399" i="2"/>
  <c r="F399" i="2"/>
  <c r="AC381" i="2"/>
  <c r="AB351" i="2"/>
  <c r="AB381" i="2"/>
  <c r="Z310" i="2"/>
  <c r="AA310" i="2" s="1"/>
  <c r="G310" i="2" s="1"/>
  <c r="Z305" i="2"/>
  <c r="AA305" i="2" s="1"/>
  <c r="H305" i="2" s="1"/>
  <c r="AD310" i="2"/>
  <c r="AB310" i="2"/>
  <c r="AD305" i="2"/>
  <c r="AB305" i="2"/>
  <c r="N310" i="2"/>
  <c r="AC310" i="2" s="1"/>
  <c r="N305" i="2"/>
  <c r="AC305" i="2" s="1"/>
  <c r="N304" i="2"/>
  <c r="AC304" i="2" s="1"/>
  <c r="F310" i="2"/>
  <c r="F305" i="2"/>
  <c r="AA420" i="2"/>
  <c r="H420" i="2" s="1"/>
  <c r="Z420" i="2"/>
  <c r="O420" i="2"/>
  <c r="AD419" i="2"/>
  <c r="AC419" i="2"/>
  <c r="AB419" i="2"/>
  <c r="AA419" i="2"/>
  <c r="Z419" i="2"/>
  <c r="O419" i="2"/>
  <c r="AD400" i="2"/>
  <c r="AD397" i="2"/>
  <c r="AD395" i="2"/>
  <c r="AC400" i="2"/>
  <c r="AC397" i="2"/>
  <c r="AC395" i="2"/>
  <c r="AB400" i="2"/>
  <c r="AB397" i="2"/>
  <c r="AB395" i="2"/>
  <c r="Z400" i="2"/>
  <c r="Z397" i="2"/>
  <c r="Z395" i="2"/>
  <c r="O400" i="2"/>
  <c r="O397" i="2"/>
  <c r="O395" i="2"/>
  <c r="O393" i="2"/>
  <c r="O166" i="2"/>
  <c r="AA393" i="2"/>
  <c r="Z393" i="2"/>
  <c r="AA392" i="2"/>
  <c r="H392" i="2" s="1"/>
  <c r="O392" i="2"/>
  <c r="AD393" i="2"/>
  <c r="AC393" i="2"/>
  <c r="AB393" i="2"/>
  <c r="AB384" i="2"/>
  <c r="O398" i="2"/>
  <c r="AA398" i="2"/>
  <c r="H398" i="2" s="1"/>
  <c r="Z398" i="2"/>
  <c r="AB398" i="2"/>
  <c r="AC398" i="2"/>
  <c r="AD398" i="2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20" i="2"/>
  <c r="AD19" i="2"/>
  <c r="AD21" i="2"/>
  <c r="AD23" i="2"/>
  <c r="AD22" i="2"/>
  <c r="AD24" i="2"/>
  <c r="AD25" i="2"/>
  <c r="AD26" i="2"/>
  <c r="AD28" i="2"/>
  <c r="AD27" i="2"/>
  <c r="AD29" i="2"/>
  <c r="AD30" i="2"/>
  <c r="AD31" i="2"/>
  <c r="AD32" i="2"/>
  <c r="AD33" i="2"/>
  <c r="AD34" i="2"/>
  <c r="AD35" i="2"/>
  <c r="AD37" i="2"/>
  <c r="AD36" i="2"/>
  <c r="AD38" i="2"/>
  <c r="AD39" i="2"/>
  <c r="AD40" i="2"/>
  <c r="AD41" i="2"/>
  <c r="AD42" i="2"/>
  <c r="AD43" i="2"/>
  <c r="AD44" i="2"/>
  <c r="AD46" i="2"/>
  <c r="AD45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192" i="2"/>
  <c r="AD63" i="2"/>
  <c r="AD66" i="2"/>
  <c r="AD64" i="2"/>
  <c r="AD194" i="2"/>
  <c r="AD67" i="2"/>
  <c r="AD68" i="2"/>
  <c r="AD69" i="2"/>
  <c r="AD70" i="2"/>
  <c r="AD75" i="2"/>
  <c r="AD71" i="2"/>
  <c r="AD72" i="2"/>
  <c r="AD73" i="2"/>
  <c r="AD203" i="2"/>
  <c r="AD80" i="2"/>
  <c r="AD76" i="2"/>
  <c r="AD77" i="2"/>
  <c r="AD204" i="2"/>
  <c r="AD205" i="2"/>
  <c r="AD81" i="2"/>
  <c r="AD86" i="2"/>
  <c r="AD83" i="2"/>
  <c r="AD82" i="2"/>
  <c r="AD84" i="2"/>
  <c r="AD206" i="2"/>
  <c r="AD207" i="2"/>
  <c r="AD88" i="2"/>
  <c r="AD92" i="2"/>
  <c r="AD90" i="2"/>
  <c r="AD89" i="2"/>
  <c r="AD91" i="2"/>
  <c r="AD208" i="2"/>
  <c r="AD97" i="2"/>
  <c r="AD94" i="2"/>
  <c r="AD95" i="2"/>
  <c r="AD210" i="2"/>
  <c r="AD98" i="2"/>
  <c r="AD102" i="2"/>
  <c r="AD99" i="2"/>
  <c r="AD100" i="2"/>
  <c r="AD211" i="2"/>
  <c r="AD104" i="2"/>
  <c r="AD103" i="2"/>
  <c r="AD213" i="2"/>
  <c r="AD106" i="2"/>
  <c r="AD107" i="2"/>
  <c r="AD108" i="2"/>
  <c r="AD109" i="2"/>
  <c r="AD110" i="2"/>
  <c r="AD113" i="2"/>
  <c r="AD115" i="2"/>
  <c r="AD112" i="2"/>
  <c r="AD114" i="2"/>
  <c r="AD111" i="2"/>
  <c r="AD217" i="2"/>
  <c r="AD117" i="2"/>
  <c r="AD119" i="2"/>
  <c r="AD118" i="2"/>
  <c r="AD219" i="2"/>
  <c r="AD121" i="2"/>
  <c r="AD122" i="2"/>
  <c r="AD124" i="2"/>
  <c r="AD125" i="2"/>
  <c r="AD127" i="2"/>
  <c r="AD126" i="2"/>
  <c r="AD123" i="2"/>
  <c r="AD223" i="2"/>
  <c r="AD129" i="2"/>
  <c r="AD226" i="2"/>
  <c r="AD234" i="2"/>
  <c r="AD133" i="2"/>
  <c r="AD132" i="2"/>
  <c r="AD134" i="2"/>
  <c r="AD135" i="2"/>
  <c r="AD136" i="2"/>
  <c r="AD235" i="2"/>
  <c r="AD138" i="2"/>
  <c r="AD139" i="2"/>
  <c r="AD237" i="2"/>
  <c r="AD141" i="2"/>
  <c r="AD143" i="2"/>
  <c r="AD142" i="2"/>
  <c r="AD144" i="2"/>
  <c r="AD147" i="2"/>
  <c r="AD148" i="2"/>
  <c r="AD146" i="2"/>
  <c r="AD238" i="2"/>
  <c r="AD145" i="2"/>
  <c r="AD150" i="2"/>
  <c r="AD152" i="2"/>
  <c r="AD151" i="2"/>
  <c r="AD153" i="2"/>
  <c r="AD154" i="2"/>
  <c r="AD155" i="2"/>
  <c r="AD156" i="2"/>
  <c r="AD275" i="2"/>
  <c r="AD160" i="2"/>
  <c r="AD159" i="2"/>
  <c r="AD163" i="2"/>
  <c r="AD161" i="2"/>
  <c r="AD239" i="2"/>
  <c r="AD158" i="2"/>
  <c r="AD164" i="2"/>
  <c r="AD165" i="2"/>
  <c r="AD241" i="2"/>
  <c r="AD172" i="2"/>
  <c r="AD169" i="2"/>
  <c r="AD170" i="2"/>
  <c r="AD168" i="2"/>
  <c r="AD245" i="2"/>
  <c r="AD167" i="2"/>
  <c r="AD173" i="2"/>
  <c r="AD176" i="2"/>
  <c r="AD175" i="2"/>
  <c r="AD247" i="2"/>
  <c r="AD174" i="2"/>
  <c r="AD181" i="2"/>
  <c r="AD180" i="2"/>
  <c r="AD179" i="2"/>
  <c r="AD248" i="2"/>
  <c r="AD178" i="2"/>
  <c r="AD62" i="2"/>
  <c r="AD276" i="2"/>
  <c r="AD185" i="2"/>
  <c r="AD187" i="2"/>
  <c r="AD186" i="2"/>
  <c r="AD188" i="2"/>
  <c r="AD193" i="2"/>
  <c r="AD191" i="2"/>
  <c r="AD190" i="2"/>
  <c r="AD249" i="2"/>
  <c r="AD189" i="2"/>
  <c r="AD65" i="2"/>
  <c r="AD200" i="2"/>
  <c r="AD197" i="2"/>
  <c r="AD198" i="2"/>
  <c r="AD199" i="2"/>
  <c r="AD196" i="2"/>
  <c r="AD195" i="2"/>
  <c r="AD201" i="2"/>
  <c r="AD202" i="2"/>
  <c r="AD284" i="2"/>
  <c r="AD74" i="2"/>
  <c r="AD251" i="2"/>
  <c r="AD285" i="2"/>
  <c r="AD78" i="2"/>
  <c r="AD286" i="2"/>
  <c r="AD316" i="2"/>
  <c r="AD209" i="2"/>
  <c r="AD214" i="2"/>
  <c r="AD212" i="2"/>
  <c r="AD79" i="2"/>
  <c r="AD254" i="2"/>
  <c r="AD215" i="2"/>
  <c r="AD216" i="2"/>
  <c r="AD220" i="2"/>
  <c r="AD85" i="2"/>
  <c r="AD257" i="2"/>
  <c r="AD218" i="2"/>
  <c r="AD224" i="2"/>
  <c r="AD317" i="2"/>
  <c r="AD222" i="2"/>
  <c r="AD221" i="2"/>
  <c r="AD225" i="2"/>
  <c r="AD227" i="2"/>
  <c r="AD87" i="2"/>
  <c r="AD230" i="2"/>
  <c r="AD229" i="2"/>
  <c r="AD228" i="2"/>
  <c r="AD232" i="2"/>
  <c r="AD233" i="2"/>
  <c r="AD231" i="2"/>
  <c r="AD318" i="2"/>
  <c r="AD93" i="2"/>
  <c r="AD259" i="2"/>
  <c r="AD236" i="2"/>
  <c r="AD287" i="2"/>
  <c r="AD288" i="2"/>
  <c r="AD242" i="2"/>
  <c r="AD243" i="2"/>
  <c r="AD319" i="2"/>
  <c r="AD240" i="2"/>
  <c r="AD244" i="2"/>
  <c r="AD246" i="2"/>
  <c r="AD262" i="2"/>
  <c r="AD96" i="2"/>
  <c r="AD263" i="2"/>
  <c r="AD101" i="2"/>
  <c r="AD252" i="2"/>
  <c r="AD250" i="2"/>
  <c r="AD408" i="2"/>
  <c r="AD256" i="2"/>
  <c r="AD255" i="2"/>
  <c r="AD321" i="2"/>
  <c r="AD253" i="2"/>
  <c r="AD290" i="2"/>
  <c r="AD258" i="2"/>
  <c r="AD294" i="2"/>
  <c r="AD105" i="2"/>
  <c r="AD260" i="2"/>
  <c r="AD264" i="2"/>
  <c r="AD261" i="2"/>
  <c r="AD324" i="2"/>
  <c r="AD409" i="2"/>
  <c r="AD265" i="2"/>
  <c r="AD266" i="2"/>
  <c r="AD268" i="2"/>
  <c r="AD269" i="2"/>
  <c r="AD116" i="2"/>
  <c r="AD270" i="2"/>
  <c r="AD267" i="2"/>
  <c r="AD410" i="2"/>
  <c r="AD278" i="2"/>
  <c r="AD271" i="2"/>
  <c r="AD272" i="2"/>
  <c r="AD325" i="2"/>
  <c r="AD277" i="2"/>
  <c r="AD279" i="2"/>
  <c r="AD283" i="2"/>
  <c r="AD280" i="2"/>
  <c r="AD282" i="2"/>
  <c r="AD335" i="2"/>
  <c r="AD120" i="2"/>
  <c r="AD281" i="2"/>
  <c r="AD273" i="2"/>
  <c r="AD411" i="2"/>
  <c r="AD128" i="2"/>
  <c r="AD289" i="2"/>
  <c r="AD291" i="2"/>
  <c r="AD340" i="2"/>
  <c r="AD293" i="2"/>
  <c r="AD292" i="2"/>
  <c r="AD274" i="2"/>
  <c r="AD412" i="2"/>
  <c r="AD296" i="2"/>
  <c r="AD298" i="2"/>
  <c r="AD130" i="2"/>
  <c r="AD299" i="2"/>
  <c r="AD341" i="2"/>
  <c r="AD302" i="2"/>
  <c r="AD342" i="2"/>
  <c r="AD303" i="2"/>
  <c r="AD301" i="2"/>
  <c r="AD131" i="2"/>
  <c r="AD306" i="2"/>
  <c r="AD307" i="2"/>
  <c r="AD309" i="2"/>
  <c r="AD344" i="2"/>
  <c r="AD308" i="2"/>
  <c r="AD311" i="2"/>
  <c r="AD312" i="2"/>
  <c r="AD313" i="2"/>
  <c r="AD137" i="2"/>
  <c r="AD314" i="2"/>
  <c r="AD413" i="2"/>
  <c r="AD346" i="2"/>
  <c r="AD350" i="2"/>
  <c r="AD320" i="2"/>
  <c r="AD140" i="2"/>
  <c r="AD352" i="2"/>
  <c r="AD322" i="2"/>
  <c r="AD323" i="2"/>
  <c r="AD414" i="2"/>
  <c r="AD295" i="2"/>
  <c r="AD326" i="2"/>
  <c r="AD327" i="2"/>
  <c r="AD328" i="2"/>
  <c r="AD329" i="2"/>
  <c r="AD330" i="2"/>
  <c r="AD331" i="2"/>
  <c r="AD332" i="2"/>
  <c r="AD333" i="2"/>
  <c r="AD334" i="2"/>
  <c r="AD353" i="2"/>
  <c r="AD336" i="2"/>
  <c r="AD337" i="2"/>
  <c r="AD338" i="2"/>
  <c r="AD339" i="2"/>
  <c r="AD361" i="2"/>
  <c r="AD297" i="2"/>
  <c r="AD362" i="2"/>
  <c r="AD343" i="2"/>
  <c r="AD300" i="2"/>
  <c r="AD364" i="2"/>
  <c r="AD345" i="2"/>
  <c r="AD347" i="2"/>
  <c r="AD370" i="2"/>
  <c r="AD349" i="2"/>
  <c r="AD348" i="2"/>
  <c r="AD351" i="2"/>
  <c r="AD149" i="2"/>
  <c r="AD415" i="2"/>
  <c r="AD354" i="2"/>
  <c r="AD355" i="2"/>
  <c r="AD356" i="2"/>
  <c r="AD357" i="2"/>
  <c r="AD358" i="2"/>
  <c r="AD359" i="2"/>
  <c r="AD360" i="2"/>
  <c r="AD371" i="2"/>
  <c r="AD157" i="2"/>
  <c r="AD372" i="2"/>
  <c r="AD363" i="2"/>
  <c r="AD365" i="2"/>
  <c r="AD366" i="2"/>
  <c r="AD367" i="2"/>
  <c r="AD368" i="2"/>
  <c r="AD416" i="2"/>
  <c r="AD369" i="2"/>
  <c r="AD373" i="2"/>
  <c r="AD375" i="2"/>
  <c r="AD376" i="2"/>
  <c r="AD374" i="2"/>
  <c r="AD377" i="2"/>
  <c r="AD417" i="2"/>
  <c r="AD378" i="2"/>
  <c r="AD304" i="2"/>
  <c r="AD379" i="2"/>
  <c r="AD381" i="2"/>
  <c r="AD162" i="2"/>
  <c r="AD380" i="2"/>
  <c r="AD382" i="2"/>
  <c r="AD418" i="2"/>
  <c r="AD383" i="2"/>
  <c r="AD385" i="2"/>
  <c r="AD387" i="2"/>
  <c r="AD384" i="2"/>
  <c r="AD388" i="2"/>
  <c r="AD391" i="2"/>
  <c r="AD389" i="2"/>
  <c r="AD166" i="2"/>
  <c r="AD394" i="2"/>
  <c r="AD390" i="2"/>
  <c r="AD396" i="2"/>
  <c r="AD392" i="2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20" i="2"/>
  <c r="AC19" i="2"/>
  <c r="AC21" i="2"/>
  <c r="AC23" i="2"/>
  <c r="AC22" i="2"/>
  <c r="AC24" i="2"/>
  <c r="AC25" i="2"/>
  <c r="AC26" i="2"/>
  <c r="AC28" i="2"/>
  <c r="AC27" i="2"/>
  <c r="AC29" i="2"/>
  <c r="AC30" i="2"/>
  <c r="AC31" i="2"/>
  <c r="AC32" i="2"/>
  <c r="AC33" i="2"/>
  <c r="AC34" i="2"/>
  <c r="AC35" i="2"/>
  <c r="AC37" i="2"/>
  <c r="AC36" i="2"/>
  <c r="AC38" i="2"/>
  <c r="AC39" i="2"/>
  <c r="AC40" i="2"/>
  <c r="AC41" i="2"/>
  <c r="AC42" i="2"/>
  <c r="AC43" i="2"/>
  <c r="AC44" i="2"/>
  <c r="AC46" i="2"/>
  <c r="AC45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192" i="2"/>
  <c r="AC63" i="2"/>
  <c r="AC66" i="2"/>
  <c r="AC64" i="2"/>
  <c r="AC194" i="2"/>
  <c r="AC67" i="2"/>
  <c r="AC68" i="2"/>
  <c r="AC69" i="2"/>
  <c r="AC70" i="2"/>
  <c r="AC75" i="2"/>
  <c r="AC71" i="2"/>
  <c r="AC72" i="2"/>
  <c r="AC73" i="2"/>
  <c r="AC203" i="2"/>
  <c r="AC80" i="2"/>
  <c r="AC76" i="2"/>
  <c r="AC77" i="2"/>
  <c r="AC204" i="2"/>
  <c r="AC205" i="2"/>
  <c r="AC81" i="2"/>
  <c r="AC86" i="2"/>
  <c r="AC83" i="2"/>
  <c r="AC82" i="2"/>
  <c r="AC84" i="2"/>
  <c r="AC206" i="2"/>
  <c r="AC207" i="2"/>
  <c r="AC88" i="2"/>
  <c r="AC92" i="2"/>
  <c r="AC90" i="2"/>
  <c r="AC89" i="2"/>
  <c r="AC91" i="2"/>
  <c r="AC208" i="2"/>
  <c r="AC97" i="2"/>
  <c r="AC94" i="2"/>
  <c r="AC95" i="2"/>
  <c r="AC210" i="2"/>
  <c r="AC98" i="2"/>
  <c r="AC102" i="2"/>
  <c r="AC99" i="2"/>
  <c r="AC100" i="2"/>
  <c r="AC211" i="2"/>
  <c r="AC104" i="2"/>
  <c r="AC103" i="2"/>
  <c r="AC213" i="2"/>
  <c r="AC106" i="2"/>
  <c r="AC107" i="2"/>
  <c r="AC108" i="2"/>
  <c r="AC109" i="2"/>
  <c r="AC110" i="2"/>
  <c r="AC113" i="2"/>
  <c r="AC115" i="2"/>
  <c r="AC112" i="2"/>
  <c r="AC114" i="2"/>
  <c r="AC111" i="2"/>
  <c r="AC217" i="2"/>
  <c r="AC117" i="2"/>
  <c r="AC119" i="2"/>
  <c r="AC118" i="2"/>
  <c r="AC219" i="2"/>
  <c r="AC121" i="2"/>
  <c r="AC122" i="2"/>
  <c r="AC124" i="2"/>
  <c r="AC125" i="2"/>
  <c r="AC127" i="2"/>
  <c r="AC126" i="2"/>
  <c r="AC123" i="2"/>
  <c r="AC223" i="2"/>
  <c r="AC129" i="2"/>
  <c r="AC226" i="2"/>
  <c r="AC234" i="2"/>
  <c r="AC133" i="2"/>
  <c r="AC132" i="2"/>
  <c r="AC134" i="2"/>
  <c r="AC135" i="2"/>
  <c r="AC136" i="2"/>
  <c r="AC235" i="2"/>
  <c r="AC138" i="2"/>
  <c r="AC139" i="2"/>
  <c r="AC237" i="2"/>
  <c r="AC141" i="2"/>
  <c r="AC143" i="2"/>
  <c r="AC142" i="2"/>
  <c r="AC144" i="2"/>
  <c r="AC147" i="2"/>
  <c r="AC148" i="2"/>
  <c r="AC146" i="2"/>
  <c r="AC238" i="2"/>
  <c r="AC145" i="2"/>
  <c r="AC150" i="2"/>
  <c r="AC152" i="2"/>
  <c r="AC151" i="2"/>
  <c r="AC153" i="2"/>
  <c r="AC154" i="2"/>
  <c r="AC155" i="2"/>
  <c r="AC156" i="2"/>
  <c r="AC160" i="2"/>
  <c r="AC159" i="2"/>
  <c r="AC163" i="2"/>
  <c r="AC161" i="2"/>
  <c r="AC239" i="2"/>
  <c r="AC158" i="2"/>
  <c r="AC164" i="2"/>
  <c r="AC165" i="2"/>
  <c r="AC241" i="2"/>
  <c r="AC172" i="2"/>
  <c r="AC169" i="2"/>
  <c r="AC170" i="2"/>
  <c r="AC168" i="2"/>
  <c r="AC245" i="2"/>
  <c r="AC167" i="2"/>
  <c r="AC173" i="2"/>
  <c r="AC176" i="2"/>
  <c r="AC175" i="2"/>
  <c r="AC247" i="2"/>
  <c r="AC174" i="2"/>
  <c r="AC181" i="2"/>
  <c r="AC180" i="2"/>
  <c r="AC179" i="2"/>
  <c r="AC248" i="2"/>
  <c r="AC178" i="2"/>
  <c r="AC62" i="2"/>
  <c r="AC185" i="2"/>
  <c r="AC187" i="2"/>
  <c r="AC186" i="2"/>
  <c r="AC188" i="2"/>
  <c r="AC193" i="2"/>
  <c r="AC191" i="2"/>
  <c r="AC190" i="2"/>
  <c r="AC249" i="2"/>
  <c r="AC189" i="2"/>
  <c r="AC65" i="2"/>
  <c r="AC200" i="2"/>
  <c r="AC197" i="2"/>
  <c r="AC198" i="2"/>
  <c r="AC199" i="2"/>
  <c r="AC196" i="2"/>
  <c r="AC195" i="2"/>
  <c r="AC201" i="2"/>
  <c r="AC202" i="2"/>
  <c r="AC74" i="2"/>
  <c r="AC251" i="2"/>
  <c r="AC78" i="2"/>
  <c r="AC286" i="2"/>
  <c r="AC316" i="2"/>
  <c r="AC209" i="2"/>
  <c r="AC214" i="2"/>
  <c r="AC212" i="2"/>
  <c r="AC79" i="2"/>
  <c r="AC254" i="2"/>
  <c r="AC215" i="2"/>
  <c r="AC216" i="2"/>
  <c r="AC220" i="2"/>
  <c r="AC85" i="2"/>
  <c r="AC257" i="2"/>
  <c r="AC218" i="2"/>
  <c r="AC224" i="2"/>
  <c r="AC317" i="2"/>
  <c r="AC222" i="2"/>
  <c r="AC221" i="2"/>
  <c r="AC225" i="2"/>
  <c r="AC227" i="2"/>
  <c r="AC87" i="2"/>
  <c r="AC230" i="2"/>
  <c r="AC229" i="2"/>
  <c r="AC228" i="2"/>
  <c r="AC232" i="2"/>
  <c r="AC233" i="2"/>
  <c r="AC231" i="2"/>
  <c r="AC318" i="2"/>
  <c r="AC93" i="2"/>
  <c r="AC259" i="2"/>
  <c r="AC236" i="2"/>
  <c r="AC242" i="2"/>
  <c r="AC243" i="2"/>
  <c r="AC319" i="2"/>
  <c r="AC240" i="2"/>
  <c r="AC244" i="2"/>
  <c r="AC246" i="2"/>
  <c r="AC262" i="2"/>
  <c r="AC96" i="2"/>
  <c r="AC263" i="2"/>
  <c r="AC101" i="2"/>
  <c r="AC252" i="2"/>
  <c r="AC250" i="2"/>
  <c r="AC408" i="2"/>
  <c r="AC256" i="2"/>
  <c r="AC255" i="2"/>
  <c r="AC321" i="2"/>
  <c r="AC253" i="2"/>
  <c r="AC258" i="2"/>
  <c r="AC105" i="2"/>
  <c r="AC260" i="2"/>
  <c r="AC264" i="2"/>
  <c r="AC261" i="2"/>
  <c r="AC324" i="2"/>
  <c r="AC409" i="2"/>
  <c r="AC265" i="2"/>
  <c r="AC266" i="2"/>
  <c r="AC268" i="2"/>
  <c r="AC269" i="2"/>
  <c r="AC116" i="2"/>
  <c r="AC270" i="2"/>
  <c r="AC267" i="2"/>
  <c r="AC410" i="2"/>
  <c r="AC278" i="2"/>
  <c r="AC271" i="2"/>
  <c r="AC272" i="2"/>
  <c r="AC325" i="2"/>
  <c r="AC277" i="2"/>
  <c r="AC279" i="2"/>
  <c r="AC283" i="2"/>
  <c r="AC280" i="2"/>
  <c r="AC282" i="2"/>
  <c r="AC335" i="2"/>
  <c r="AC120" i="2"/>
  <c r="AC281" i="2"/>
  <c r="AC273" i="2"/>
  <c r="AC411" i="2"/>
  <c r="AC128" i="2"/>
  <c r="AC289" i="2"/>
  <c r="AC291" i="2"/>
  <c r="AC340" i="2"/>
  <c r="AC293" i="2"/>
  <c r="AC292" i="2"/>
  <c r="AC274" i="2"/>
  <c r="AC412" i="2"/>
  <c r="AC296" i="2"/>
  <c r="AC298" i="2"/>
  <c r="AC130" i="2"/>
  <c r="AC299" i="2"/>
  <c r="AC341" i="2"/>
  <c r="AC302" i="2"/>
  <c r="AC342" i="2"/>
  <c r="AC303" i="2"/>
  <c r="AC301" i="2"/>
  <c r="AC131" i="2"/>
  <c r="AC306" i="2"/>
  <c r="AC307" i="2"/>
  <c r="AC309" i="2"/>
  <c r="AC344" i="2"/>
  <c r="AC308" i="2"/>
  <c r="AC311" i="2"/>
  <c r="AC312" i="2"/>
  <c r="AC313" i="2"/>
  <c r="AC137" i="2"/>
  <c r="AC314" i="2"/>
  <c r="AC413" i="2"/>
  <c r="AC346" i="2"/>
  <c r="AC350" i="2"/>
  <c r="AC320" i="2"/>
  <c r="AC140" i="2"/>
  <c r="AC352" i="2"/>
  <c r="AC322" i="2"/>
  <c r="AC323" i="2"/>
  <c r="AC414" i="2"/>
  <c r="AC326" i="2"/>
  <c r="AC327" i="2"/>
  <c r="AC328" i="2"/>
  <c r="AC329" i="2"/>
  <c r="AC330" i="2"/>
  <c r="AC331" i="2"/>
  <c r="AC332" i="2"/>
  <c r="AC333" i="2"/>
  <c r="AC334" i="2"/>
  <c r="AC353" i="2"/>
  <c r="AC336" i="2"/>
  <c r="AC337" i="2"/>
  <c r="AC338" i="2"/>
  <c r="AC339" i="2"/>
  <c r="AC361" i="2"/>
  <c r="AC362" i="2"/>
  <c r="AC343" i="2"/>
  <c r="AC364" i="2"/>
  <c r="AC345" i="2"/>
  <c r="AC347" i="2"/>
  <c r="AC370" i="2"/>
  <c r="AC349" i="2"/>
  <c r="AC348" i="2"/>
  <c r="AC351" i="2"/>
  <c r="AC149" i="2"/>
  <c r="AC415" i="2"/>
  <c r="AC354" i="2"/>
  <c r="AC355" i="2"/>
  <c r="AC356" i="2"/>
  <c r="AC357" i="2"/>
  <c r="AC358" i="2"/>
  <c r="AC359" i="2"/>
  <c r="AC360" i="2"/>
  <c r="AC371" i="2"/>
  <c r="AC157" i="2"/>
  <c r="AC372" i="2"/>
  <c r="AC363" i="2"/>
  <c r="AC365" i="2"/>
  <c r="AC366" i="2"/>
  <c r="AC367" i="2"/>
  <c r="AC368" i="2"/>
  <c r="AC416" i="2"/>
  <c r="AC369" i="2"/>
  <c r="AC373" i="2"/>
  <c r="AC375" i="2"/>
  <c r="AC376" i="2"/>
  <c r="AC374" i="2"/>
  <c r="AC377" i="2"/>
  <c r="AC417" i="2"/>
  <c r="AC378" i="2"/>
  <c r="AC379" i="2"/>
  <c r="AC162" i="2"/>
  <c r="AC380" i="2"/>
  <c r="AC382" i="2"/>
  <c r="AC418" i="2"/>
  <c r="AC383" i="2"/>
  <c r="AC385" i="2"/>
  <c r="AC387" i="2"/>
  <c r="AC384" i="2"/>
  <c r="AC388" i="2"/>
  <c r="AC391" i="2"/>
  <c r="AC389" i="2"/>
  <c r="AC166" i="2"/>
  <c r="AC394" i="2"/>
  <c r="AC390" i="2"/>
  <c r="AC396" i="2"/>
  <c r="AC392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20" i="2"/>
  <c r="AB19" i="2"/>
  <c r="AB21" i="2"/>
  <c r="AB23" i="2"/>
  <c r="AB22" i="2"/>
  <c r="AB24" i="2"/>
  <c r="AB25" i="2"/>
  <c r="AB26" i="2"/>
  <c r="AB28" i="2"/>
  <c r="AB27" i="2"/>
  <c r="AB29" i="2"/>
  <c r="AB30" i="2"/>
  <c r="AB31" i="2"/>
  <c r="AB32" i="2"/>
  <c r="AB33" i="2"/>
  <c r="AB34" i="2"/>
  <c r="AB35" i="2"/>
  <c r="AB37" i="2"/>
  <c r="AB36" i="2"/>
  <c r="AB38" i="2"/>
  <c r="AB39" i="2"/>
  <c r="AB40" i="2"/>
  <c r="AB41" i="2"/>
  <c r="AB42" i="2"/>
  <c r="AB43" i="2"/>
  <c r="AB44" i="2"/>
  <c r="AB46" i="2"/>
  <c r="AB45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192" i="2"/>
  <c r="AB63" i="2"/>
  <c r="AB66" i="2"/>
  <c r="AB64" i="2"/>
  <c r="AB194" i="2"/>
  <c r="AB67" i="2"/>
  <c r="AB68" i="2"/>
  <c r="AB69" i="2"/>
  <c r="AB70" i="2"/>
  <c r="AB75" i="2"/>
  <c r="AB71" i="2"/>
  <c r="AB72" i="2"/>
  <c r="AB73" i="2"/>
  <c r="AB203" i="2"/>
  <c r="AB80" i="2"/>
  <c r="AB76" i="2"/>
  <c r="AB77" i="2"/>
  <c r="AB204" i="2"/>
  <c r="AB205" i="2"/>
  <c r="AB81" i="2"/>
  <c r="AB86" i="2"/>
  <c r="AB83" i="2"/>
  <c r="AB82" i="2"/>
  <c r="AB84" i="2"/>
  <c r="AB206" i="2"/>
  <c r="AB207" i="2"/>
  <c r="AB88" i="2"/>
  <c r="AB92" i="2"/>
  <c r="AB90" i="2"/>
  <c r="AB89" i="2"/>
  <c r="AB91" i="2"/>
  <c r="AB208" i="2"/>
  <c r="AB97" i="2"/>
  <c r="AB94" i="2"/>
  <c r="AB95" i="2"/>
  <c r="AB210" i="2"/>
  <c r="AB98" i="2"/>
  <c r="AB102" i="2"/>
  <c r="AB99" i="2"/>
  <c r="AB100" i="2"/>
  <c r="AB211" i="2"/>
  <c r="AB104" i="2"/>
  <c r="AB103" i="2"/>
  <c r="AB213" i="2"/>
  <c r="AB106" i="2"/>
  <c r="AB107" i="2"/>
  <c r="AB108" i="2"/>
  <c r="AB109" i="2"/>
  <c r="AB110" i="2"/>
  <c r="AB113" i="2"/>
  <c r="AB115" i="2"/>
  <c r="AB112" i="2"/>
  <c r="AB114" i="2"/>
  <c r="AB111" i="2"/>
  <c r="AB217" i="2"/>
  <c r="AB117" i="2"/>
  <c r="AB119" i="2"/>
  <c r="AB118" i="2"/>
  <c r="AB219" i="2"/>
  <c r="AB121" i="2"/>
  <c r="AB122" i="2"/>
  <c r="AB124" i="2"/>
  <c r="AB125" i="2"/>
  <c r="AB127" i="2"/>
  <c r="AB126" i="2"/>
  <c r="AB123" i="2"/>
  <c r="AB223" i="2"/>
  <c r="AB129" i="2"/>
  <c r="AB226" i="2"/>
  <c r="AB234" i="2"/>
  <c r="AB133" i="2"/>
  <c r="AB132" i="2"/>
  <c r="AB134" i="2"/>
  <c r="AB135" i="2"/>
  <c r="AB136" i="2"/>
  <c r="AB235" i="2"/>
  <c r="AB138" i="2"/>
  <c r="AB139" i="2"/>
  <c r="AB237" i="2"/>
  <c r="AB141" i="2"/>
  <c r="AB143" i="2"/>
  <c r="AB142" i="2"/>
  <c r="AB144" i="2"/>
  <c r="AB147" i="2"/>
  <c r="AB148" i="2"/>
  <c r="AB146" i="2"/>
  <c r="AB238" i="2"/>
  <c r="AB145" i="2"/>
  <c r="AB150" i="2"/>
  <c r="AB152" i="2"/>
  <c r="AB151" i="2"/>
  <c r="AB153" i="2"/>
  <c r="AB154" i="2"/>
  <c r="AB155" i="2"/>
  <c r="AB156" i="2"/>
  <c r="AB275" i="2"/>
  <c r="AB160" i="2"/>
  <c r="AB159" i="2"/>
  <c r="AB163" i="2"/>
  <c r="AB161" i="2"/>
  <c r="AB239" i="2"/>
  <c r="AB158" i="2"/>
  <c r="AB164" i="2"/>
  <c r="AB165" i="2"/>
  <c r="AB241" i="2"/>
  <c r="AB172" i="2"/>
  <c r="AB169" i="2"/>
  <c r="AB170" i="2"/>
  <c r="AB168" i="2"/>
  <c r="AB245" i="2"/>
  <c r="AB167" i="2"/>
  <c r="AB173" i="2"/>
  <c r="AB176" i="2"/>
  <c r="AB175" i="2"/>
  <c r="AB247" i="2"/>
  <c r="AB174" i="2"/>
  <c r="AB181" i="2"/>
  <c r="AB180" i="2"/>
  <c r="AB179" i="2"/>
  <c r="AB248" i="2"/>
  <c r="AB178" i="2"/>
  <c r="AB62" i="2"/>
  <c r="AB276" i="2"/>
  <c r="AB185" i="2"/>
  <c r="AB187" i="2"/>
  <c r="AB186" i="2"/>
  <c r="AB188" i="2"/>
  <c r="AB193" i="2"/>
  <c r="AB191" i="2"/>
  <c r="AB190" i="2"/>
  <c r="AB249" i="2"/>
  <c r="AB189" i="2"/>
  <c r="AB65" i="2"/>
  <c r="AB200" i="2"/>
  <c r="AB197" i="2"/>
  <c r="AB198" i="2"/>
  <c r="AB199" i="2"/>
  <c r="AB196" i="2"/>
  <c r="AB195" i="2"/>
  <c r="AB201" i="2"/>
  <c r="AB202" i="2"/>
  <c r="AB284" i="2"/>
  <c r="AB74" i="2"/>
  <c r="AB251" i="2"/>
  <c r="AB285" i="2"/>
  <c r="AB78" i="2"/>
  <c r="AB286" i="2"/>
  <c r="AB316" i="2"/>
  <c r="AB209" i="2"/>
  <c r="AB214" i="2"/>
  <c r="AB212" i="2"/>
  <c r="AB79" i="2"/>
  <c r="AB254" i="2"/>
  <c r="AB215" i="2"/>
  <c r="AB216" i="2"/>
  <c r="AB220" i="2"/>
  <c r="AB85" i="2"/>
  <c r="AB257" i="2"/>
  <c r="AB218" i="2"/>
  <c r="AB224" i="2"/>
  <c r="AB317" i="2"/>
  <c r="AB222" i="2"/>
  <c r="AB221" i="2"/>
  <c r="AB225" i="2"/>
  <c r="AB227" i="2"/>
  <c r="AB87" i="2"/>
  <c r="AB230" i="2"/>
  <c r="AB229" i="2"/>
  <c r="AB228" i="2"/>
  <c r="AB232" i="2"/>
  <c r="AB233" i="2"/>
  <c r="AB231" i="2"/>
  <c r="AB318" i="2"/>
  <c r="AB93" i="2"/>
  <c r="AB259" i="2"/>
  <c r="AB236" i="2"/>
  <c r="AB287" i="2"/>
  <c r="AB288" i="2"/>
  <c r="AB242" i="2"/>
  <c r="AB243" i="2"/>
  <c r="AB319" i="2"/>
  <c r="AB240" i="2"/>
  <c r="AB244" i="2"/>
  <c r="AB246" i="2"/>
  <c r="AB262" i="2"/>
  <c r="AB96" i="2"/>
  <c r="AB263" i="2"/>
  <c r="AB101" i="2"/>
  <c r="AB252" i="2"/>
  <c r="AB250" i="2"/>
  <c r="AB408" i="2"/>
  <c r="AB256" i="2"/>
  <c r="AB255" i="2"/>
  <c r="AB321" i="2"/>
  <c r="AB253" i="2"/>
  <c r="AB290" i="2"/>
  <c r="AB258" i="2"/>
  <c r="AB294" i="2"/>
  <c r="AB105" i="2"/>
  <c r="AB260" i="2"/>
  <c r="AB264" i="2"/>
  <c r="AB261" i="2"/>
  <c r="AB324" i="2"/>
  <c r="AB409" i="2"/>
  <c r="AB265" i="2"/>
  <c r="AB266" i="2"/>
  <c r="AB268" i="2"/>
  <c r="AB269" i="2"/>
  <c r="AB116" i="2"/>
  <c r="AB270" i="2"/>
  <c r="AB267" i="2"/>
  <c r="AB410" i="2"/>
  <c r="AB278" i="2"/>
  <c r="AB271" i="2"/>
  <c r="AB272" i="2"/>
  <c r="AB325" i="2"/>
  <c r="AB277" i="2"/>
  <c r="AB279" i="2"/>
  <c r="AB283" i="2"/>
  <c r="AB280" i="2"/>
  <c r="AB282" i="2"/>
  <c r="AB335" i="2"/>
  <c r="AB120" i="2"/>
  <c r="AB281" i="2"/>
  <c r="AB273" i="2"/>
  <c r="AB411" i="2"/>
  <c r="AB128" i="2"/>
  <c r="AB289" i="2"/>
  <c r="AB291" i="2"/>
  <c r="AB340" i="2"/>
  <c r="AB293" i="2"/>
  <c r="AB292" i="2"/>
  <c r="AB274" i="2"/>
  <c r="AB412" i="2"/>
  <c r="AB296" i="2"/>
  <c r="AB298" i="2"/>
  <c r="AB130" i="2"/>
  <c r="AB299" i="2"/>
  <c r="AB341" i="2"/>
  <c r="AB302" i="2"/>
  <c r="AB342" i="2"/>
  <c r="AB303" i="2"/>
  <c r="AB301" i="2"/>
  <c r="AB131" i="2"/>
  <c r="AB306" i="2"/>
  <c r="AB307" i="2"/>
  <c r="AB309" i="2"/>
  <c r="AB344" i="2"/>
  <c r="AB308" i="2"/>
  <c r="AB311" i="2"/>
  <c r="AB312" i="2"/>
  <c r="AB313" i="2"/>
  <c r="AB137" i="2"/>
  <c r="AB314" i="2"/>
  <c r="AB413" i="2"/>
  <c r="AB346" i="2"/>
  <c r="AB350" i="2"/>
  <c r="AB320" i="2"/>
  <c r="AB140" i="2"/>
  <c r="AB352" i="2"/>
  <c r="AB322" i="2"/>
  <c r="AB323" i="2"/>
  <c r="AB414" i="2"/>
  <c r="AB295" i="2"/>
  <c r="AB326" i="2"/>
  <c r="AB327" i="2"/>
  <c r="AB328" i="2"/>
  <c r="AB329" i="2"/>
  <c r="AB330" i="2"/>
  <c r="AB331" i="2"/>
  <c r="AB332" i="2"/>
  <c r="AB333" i="2"/>
  <c r="AB334" i="2"/>
  <c r="AB353" i="2"/>
  <c r="AB336" i="2"/>
  <c r="AB337" i="2"/>
  <c r="AB338" i="2"/>
  <c r="AB339" i="2"/>
  <c r="AB361" i="2"/>
  <c r="AB297" i="2"/>
  <c r="AB362" i="2"/>
  <c r="AB343" i="2"/>
  <c r="AB300" i="2"/>
  <c r="AB364" i="2"/>
  <c r="AB345" i="2"/>
  <c r="AB347" i="2"/>
  <c r="AB370" i="2"/>
  <c r="AB349" i="2"/>
  <c r="AB348" i="2"/>
  <c r="AB149" i="2"/>
  <c r="AB415" i="2"/>
  <c r="AB354" i="2"/>
  <c r="AB355" i="2"/>
  <c r="AB356" i="2"/>
  <c r="AB357" i="2"/>
  <c r="AB358" i="2"/>
  <c r="AB359" i="2"/>
  <c r="AB360" i="2"/>
  <c r="AB371" i="2"/>
  <c r="AB157" i="2"/>
  <c r="AB372" i="2"/>
  <c r="AB363" i="2"/>
  <c r="AB365" i="2"/>
  <c r="AB366" i="2"/>
  <c r="AB367" i="2"/>
  <c r="AB368" i="2"/>
  <c r="AB416" i="2"/>
  <c r="AB369" i="2"/>
  <c r="AB373" i="2"/>
  <c r="AB375" i="2"/>
  <c r="AB376" i="2"/>
  <c r="AB374" i="2"/>
  <c r="AB377" i="2"/>
  <c r="AB417" i="2"/>
  <c r="AB378" i="2"/>
  <c r="AB304" i="2"/>
  <c r="AB379" i="2"/>
  <c r="AB162" i="2"/>
  <c r="AB380" i="2"/>
  <c r="AB382" i="2"/>
  <c r="AB418" i="2"/>
  <c r="AB383" i="2"/>
  <c r="AB385" i="2"/>
  <c r="AB387" i="2"/>
  <c r="AB388" i="2"/>
  <c r="AB391" i="2"/>
  <c r="AB389" i="2"/>
  <c r="AB166" i="2"/>
  <c r="AB394" i="2"/>
  <c r="AB390" i="2"/>
  <c r="AB396" i="2"/>
  <c r="AB392" i="2"/>
  <c r="O376" i="2"/>
  <c r="O373" i="2"/>
  <c r="O375" i="2"/>
  <c r="O377" i="2"/>
  <c r="O378" i="2"/>
  <c r="O380" i="2"/>
  <c r="O382" i="2"/>
  <c r="O383" i="2"/>
  <c r="O384" i="2"/>
  <c r="O389" i="2"/>
  <c r="O388" i="2"/>
  <c r="O390" i="2"/>
  <c r="Z392" i="2"/>
  <c r="AM222" i="2"/>
  <c r="AM231" i="2"/>
  <c r="AM240" i="2"/>
  <c r="AM253" i="2"/>
  <c r="AM265" i="2"/>
  <c r="AM280" i="2"/>
  <c r="AM299" i="2"/>
  <c r="AM302" i="2"/>
  <c r="AM307" i="2"/>
  <c r="AM308" i="2"/>
  <c r="AM323" i="2"/>
  <c r="AM327" i="2"/>
  <c r="AM330" i="2"/>
  <c r="AM336" i="2"/>
  <c r="AM339" i="2"/>
  <c r="AM345" i="2"/>
  <c r="AM348" i="2"/>
  <c r="AM355" i="2"/>
  <c r="AM357" i="2"/>
  <c r="AM358" i="2"/>
  <c r="AM363" i="2"/>
  <c r="AM367" i="2"/>
  <c r="AM374" i="2"/>
  <c r="AM379" i="2"/>
  <c r="AM385" i="2"/>
  <c r="AM387" i="2"/>
  <c r="AM391" i="2"/>
  <c r="AM394" i="2"/>
  <c r="AM396" i="2"/>
  <c r="AA390" i="2"/>
  <c r="G390" i="2" s="1"/>
  <c r="Z390" i="2"/>
  <c r="AA394" i="2"/>
  <c r="H394" i="2" s="1"/>
  <c r="Z394" i="2"/>
  <c r="O394" i="2"/>
  <c r="Z166" i="2"/>
  <c r="AA166" i="2"/>
  <c r="G166" i="2" s="1"/>
  <c r="AM166" i="2"/>
  <c r="F166" i="2"/>
  <c r="AA389" i="2"/>
  <c r="G389" i="2" s="1"/>
  <c r="Z389" i="2"/>
  <c r="AA388" i="2"/>
  <c r="H388" i="2" s="1"/>
  <c r="Z388" i="2"/>
  <c r="AA391" i="2"/>
  <c r="H391" i="2" s="1"/>
  <c r="Z391" i="2"/>
  <c r="O391" i="2"/>
  <c r="AA384" i="2"/>
  <c r="Z384" i="2"/>
  <c r="O387" i="2"/>
  <c r="Z387" i="2"/>
  <c r="AA387" i="2"/>
  <c r="G387" i="2" s="1"/>
  <c r="O385" i="2"/>
  <c r="AA385" i="2"/>
  <c r="Z385" i="2"/>
  <c r="AA383" i="2"/>
  <c r="G383" i="2" s="1"/>
  <c r="Z383" i="2"/>
  <c r="AA418" i="2"/>
  <c r="H418" i="2" s="1"/>
  <c r="Z418" i="2"/>
  <c r="O418" i="2"/>
  <c r="F418" i="2"/>
  <c r="AA382" i="2"/>
  <c r="H382" i="2" s="1"/>
  <c r="Z382" i="2"/>
  <c r="AA162" i="2"/>
  <c r="H162" i="2" s="1"/>
  <c r="Z162" i="2"/>
  <c r="O162" i="2"/>
  <c r="F162" i="2"/>
  <c r="AA381" i="2"/>
  <c r="H381" i="2" s="1"/>
  <c r="Z381" i="2"/>
  <c r="O381" i="2"/>
  <c r="F381" i="2"/>
  <c r="F351" i="2"/>
  <c r="Z380" i="2"/>
  <c r="AA380" i="2"/>
  <c r="H380" i="2" s="1"/>
  <c r="AA378" i="2"/>
  <c r="H378" i="2" s="1"/>
  <c r="Z378" i="2"/>
  <c r="O379" i="2"/>
  <c r="AA379" i="2"/>
  <c r="H379" i="2" s="1"/>
  <c r="Z379" i="2"/>
  <c r="F304" i="2"/>
  <c r="Z304" i="2"/>
  <c r="AA304" i="2" s="1"/>
  <c r="O417" i="2"/>
  <c r="AA417" i="2"/>
  <c r="H417" i="2" s="1"/>
  <c r="Z417" i="2"/>
  <c r="F417" i="2"/>
  <c r="Z377" i="2"/>
  <c r="AA377" i="2"/>
  <c r="AA376" i="2"/>
  <c r="G376" i="2" s="1"/>
  <c r="O367" i="2"/>
  <c r="AA367" i="2"/>
  <c r="Z367" i="2"/>
  <c r="AA374" i="2"/>
  <c r="Z374" i="2"/>
  <c r="O374" i="2"/>
  <c r="AA375" i="2"/>
  <c r="H375" i="2" s="1"/>
  <c r="Z375" i="2"/>
  <c r="AA373" i="2"/>
  <c r="H373" i="2" s="1"/>
  <c r="Z373" i="2"/>
  <c r="O368" i="2"/>
  <c r="AA369" i="2"/>
  <c r="AA368" i="2"/>
  <c r="Z368" i="2"/>
  <c r="Z369" i="2"/>
  <c r="O369" i="2"/>
  <c r="AA416" i="2"/>
  <c r="G416" i="2" s="1"/>
  <c r="Z416" i="2"/>
  <c r="O416" i="2"/>
  <c r="F416" i="2"/>
  <c r="AA366" i="2"/>
  <c r="H366" i="2" s="1"/>
  <c r="Z366" i="2"/>
  <c r="O366" i="2"/>
  <c r="AA365" i="2"/>
  <c r="H365" i="2" s="1"/>
  <c r="Z365" i="2"/>
  <c r="O365" i="2"/>
  <c r="AA358" i="2"/>
  <c r="H358" i="2" s="1"/>
  <c r="Z358" i="2"/>
  <c r="O358" i="2"/>
  <c r="AA363" i="2"/>
  <c r="H363" i="2" s="1"/>
  <c r="Z363" i="2"/>
  <c r="O363" i="2"/>
  <c r="AA372" i="2"/>
  <c r="G372" i="2" s="1"/>
  <c r="Z372" i="2"/>
  <c r="O372" i="2"/>
  <c r="AA157" i="2"/>
  <c r="H157" i="2" s="1"/>
  <c r="Z157" i="2"/>
  <c r="F157" i="2"/>
  <c r="O157" i="2"/>
  <c r="AA360" i="2"/>
  <c r="Z360" i="2"/>
  <c r="O360" i="2"/>
  <c r="AA371" i="2"/>
  <c r="H371" i="2" s="1"/>
  <c r="Z371" i="2"/>
  <c r="O371" i="2"/>
  <c r="O359" i="2"/>
  <c r="AA359" i="2"/>
  <c r="Z359" i="2"/>
  <c r="O357" i="2"/>
  <c r="AA357" i="2"/>
  <c r="Z357" i="2"/>
  <c r="O356" i="2"/>
  <c r="AA356" i="2"/>
  <c r="Z356" i="2"/>
  <c r="O355" i="2"/>
  <c r="AA355" i="2"/>
  <c r="Z355" i="2"/>
  <c r="O354" i="2"/>
  <c r="AA354" i="2"/>
  <c r="Z354" i="2"/>
  <c r="O415" i="2"/>
  <c r="AA415" i="2"/>
  <c r="G415" i="2" s="1"/>
  <c r="Z415" i="2"/>
  <c r="F415" i="2"/>
  <c r="O149" i="2"/>
  <c r="F149" i="2"/>
  <c r="AA149" i="2"/>
  <c r="Z149" i="2"/>
  <c r="AA351" i="2"/>
  <c r="Z351" i="2"/>
  <c r="O351" i="2"/>
  <c r="AA348" i="2"/>
  <c r="H348" i="2" s="1"/>
  <c r="Z348" i="2"/>
  <c r="O348" i="2"/>
  <c r="Z349" i="2"/>
  <c r="AA349" i="2"/>
  <c r="G349" i="2" s="1"/>
  <c r="O349" i="2"/>
  <c r="AA370" i="2"/>
  <c r="H370" i="2" s="1"/>
  <c r="Z370" i="2"/>
  <c r="O370" i="2"/>
  <c r="O347" i="2"/>
  <c r="AA347" i="2"/>
  <c r="H347" i="2" s="1"/>
  <c r="Z347" i="2"/>
  <c r="AA364" i="2"/>
  <c r="Z364" i="2"/>
  <c r="O364" i="2"/>
  <c r="O345" i="2"/>
  <c r="N275" i="2"/>
  <c r="AC275" i="2" s="1"/>
  <c r="O158" i="2"/>
  <c r="N300" i="2"/>
  <c r="AC300" i="2" s="1"/>
  <c r="Z300" i="2"/>
  <c r="AA300" i="2" s="1"/>
  <c r="H300" i="2" s="1"/>
  <c r="F300" i="2"/>
  <c r="AA345" i="2"/>
  <c r="Z345" i="2"/>
  <c r="AA343" i="2"/>
  <c r="H343" i="2" s="1"/>
  <c r="Z343" i="2"/>
  <c r="O343" i="2"/>
  <c r="O362" i="2"/>
  <c r="O350" i="2"/>
  <c r="O353" i="2"/>
  <c r="O307" i="2"/>
  <c r="O339" i="2"/>
  <c r="AA307" i="2"/>
  <c r="H307" i="2" s="1"/>
  <c r="AA339" i="2"/>
  <c r="Z307" i="2"/>
  <c r="AA362" i="2"/>
  <c r="Z362" i="2"/>
  <c r="F297" i="2"/>
  <c r="Z297" i="2"/>
  <c r="AA297" i="2" s="1"/>
  <c r="AA361" i="2"/>
  <c r="Z361" i="2"/>
  <c r="Z350" i="2"/>
  <c r="AA331" i="2"/>
  <c r="H331" i="2" s="1"/>
  <c r="Z331" i="2"/>
  <c r="O331" i="2"/>
  <c r="F331" i="2"/>
  <c r="AA338" i="2"/>
  <c r="H338" i="2" s="1"/>
  <c r="Z338" i="2"/>
  <c r="O338" i="2"/>
  <c r="Z353" i="2"/>
  <c r="H353" i="2"/>
  <c r="G353" i="2"/>
  <c r="AA337" i="2"/>
  <c r="H337" i="2" s="1"/>
  <c r="Z337" i="2"/>
  <c r="O337" i="2"/>
  <c r="AA333" i="2"/>
  <c r="H333" i="2" s="1"/>
  <c r="Z333" i="2"/>
  <c r="O333" i="2"/>
  <c r="AA332" i="2"/>
  <c r="G332" i="2" s="1"/>
  <c r="Z332" i="2"/>
  <c r="O332" i="2"/>
  <c r="AA328" i="2"/>
  <c r="H328" i="2" s="1"/>
  <c r="Z328" i="2"/>
  <c r="O328" i="2"/>
  <c r="AA326" i="2"/>
  <c r="H326" i="2" s="1"/>
  <c r="Z326" i="2"/>
  <c r="O326" i="2"/>
  <c r="AA336" i="2"/>
  <c r="H336" i="2" s="1"/>
  <c r="Z336" i="2"/>
  <c r="O336" i="2"/>
  <c r="AA330" i="2"/>
  <c r="H330" i="2" s="1"/>
  <c r="Z330" i="2"/>
  <c r="O330" i="2"/>
  <c r="AA327" i="2"/>
  <c r="G327" i="2" s="1"/>
  <c r="Z327" i="2"/>
  <c r="O327" i="2"/>
  <c r="AA334" i="2"/>
  <c r="H334" i="2" s="1"/>
  <c r="Z334" i="2"/>
  <c r="O334" i="2"/>
  <c r="AA329" i="2"/>
  <c r="H329" i="2" s="1"/>
  <c r="Z329" i="2"/>
  <c r="O329" i="2"/>
  <c r="Z295" i="2"/>
  <c r="AA295" i="2" s="1"/>
  <c r="N295" i="2"/>
  <c r="AC295" i="2" s="1"/>
  <c r="F295" i="2"/>
  <c r="Z294" i="2"/>
  <c r="AA294" i="2" s="1"/>
  <c r="N294" i="2"/>
  <c r="AC294" i="2" s="1"/>
  <c r="F294" i="2"/>
  <c r="Z290" i="2"/>
  <c r="AA290" i="2" s="1"/>
  <c r="G290" i="2" s="1"/>
  <c r="N290" i="2"/>
  <c r="AC290" i="2" s="1"/>
  <c r="F290" i="2"/>
  <c r="Z288" i="2"/>
  <c r="AA288" i="2" s="1"/>
  <c r="N288" i="2"/>
  <c r="AC288" i="2" s="1"/>
  <c r="F288" i="2"/>
  <c r="Z287" i="2"/>
  <c r="AA287" i="2" s="1"/>
  <c r="N287" i="2"/>
  <c r="AC287" i="2" s="1"/>
  <c r="F287" i="2"/>
  <c r="Z286" i="2"/>
  <c r="AA286" i="2" s="1"/>
  <c r="F286" i="2"/>
  <c r="Z285" i="2"/>
  <c r="AA285" i="2" s="1"/>
  <c r="H285" i="2" s="1"/>
  <c r="N285" i="2"/>
  <c r="AC285" i="2" s="1"/>
  <c r="F285" i="2"/>
  <c r="Z284" i="2"/>
  <c r="AA284" i="2" s="1"/>
  <c r="N284" i="2"/>
  <c r="AC284" i="2" s="1"/>
  <c r="F284" i="2"/>
  <c r="Z276" i="2"/>
  <c r="AA276" i="2" s="1"/>
  <c r="N276" i="2"/>
  <c r="AC276" i="2" s="1"/>
  <c r="F276" i="2"/>
  <c r="Z275" i="2"/>
  <c r="AA275" i="2" s="1"/>
  <c r="F275" i="2"/>
  <c r="AA414" i="2"/>
  <c r="H414" i="2" s="1"/>
  <c r="Z414" i="2"/>
  <c r="O414" i="2"/>
  <c r="F414" i="2"/>
  <c r="AA413" i="2"/>
  <c r="H413" i="2" s="1"/>
  <c r="Z413" i="2"/>
  <c r="O413" i="2"/>
  <c r="F413" i="2"/>
  <c r="AA140" i="2"/>
  <c r="H140" i="2" s="1"/>
  <c r="Z140" i="2"/>
  <c r="O140" i="2"/>
  <c r="F140" i="2"/>
  <c r="H184" i="2" l="1"/>
  <c r="G424" i="2"/>
  <c r="G182" i="2"/>
  <c r="H182" i="2"/>
  <c r="G392" i="2"/>
  <c r="G305" i="2"/>
  <c r="G420" i="2"/>
  <c r="H177" i="2"/>
  <c r="H390" i="2"/>
  <c r="G399" i="2"/>
  <c r="H310" i="2"/>
  <c r="G422" i="2"/>
  <c r="G171" i="2"/>
  <c r="G419" i="2"/>
  <c r="H419" i="2"/>
  <c r="G394" i="2"/>
  <c r="G398" i="2"/>
  <c r="G381" i="2"/>
  <c r="H166" i="2"/>
  <c r="H416" i="2"/>
  <c r="G391" i="2"/>
  <c r="H389" i="2"/>
  <c r="G388" i="2"/>
  <c r="G378" i="2"/>
  <c r="G369" i="2"/>
  <c r="G417" i="2"/>
  <c r="H383" i="2"/>
  <c r="G366" i="2"/>
  <c r="G380" i="2"/>
  <c r="G373" i="2"/>
  <c r="G382" i="2"/>
  <c r="G375" i="2"/>
  <c r="G379" i="2"/>
  <c r="H369" i="2"/>
  <c r="G418" i="2"/>
  <c r="H387" i="2"/>
  <c r="G365" i="2"/>
  <c r="G162" i="2"/>
  <c r="H376" i="2"/>
  <c r="H384" i="2"/>
  <c r="G384" i="2"/>
  <c r="H385" i="2"/>
  <c r="G385" i="2"/>
  <c r="H304" i="2"/>
  <c r="G304" i="2"/>
  <c r="G377" i="2"/>
  <c r="H377" i="2"/>
  <c r="H368" i="2"/>
  <c r="G368" i="2"/>
  <c r="H374" i="2"/>
  <c r="G374" i="2"/>
  <c r="G367" i="2"/>
  <c r="H367" i="2"/>
  <c r="G371" i="2"/>
  <c r="H372" i="2"/>
  <c r="G348" i="2"/>
  <c r="G370" i="2"/>
  <c r="H415" i="2"/>
  <c r="G363" i="2"/>
  <c r="G157" i="2"/>
  <c r="H349" i="2"/>
  <c r="G358" i="2"/>
  <c r="H355" i="2"/>
  <c r="G355" i="2"/>
  <c r="H356" i="2"/>
  <c r="G356" i="2"/>
  <c r="H357" i="2"/>
  <c r="G357" i="2"/>
  <c r="H359" i="2"/>
  <c r="G359" i="2"/>
  <c r="H360" i="2"/>
  <c r="G360" i="2"/>
  <c r="H351" i="2"/>
  <c r="G351" i="2"/>
  <c r="H149" i="2"/>
  <c r="G149" i="2"/>
  <c r="H354" i="2"/>
  <c r="G354" i="2"/>
  <c r="G307" i="2"/>
  <c r="G347" i="2"/>
  <c r="G343" i="2"/>
  <c r="G300" i="2"/>
  <c r="G364" i="2"/>
  <c r="H364" i="2"/>
  <c r="H345" i="2"/>
  <c r="G345" i="2"/>
  <c r="G362" i="2"/>
  <c r="H362" i="2"/>
  <c r="H297" i="2"/>
  <c r="G297" i="2"/>
  <c r="G361" i="2"/>
  <c r="H361" i="2"/>
  <c r="H327" i="2"/>
  <c r="G334" i="2"/>
  <c r="H332" i="2"/>
  <c r="G333" i="2"/>
  <c r="G326" i="2"/>
  <c r="G331" i="2"/>
  <c r="G338" i="2"/>
  <c r="G337" i="2"/>
  <c r="G328" i="2"/>
  <c r="G336" i="2"/>
  <c r="G330" i="2"/>
  <c r="G329" i="2"/>
  <c r="H295" i="2"/>
  <c r="G295" i="2"/>
  <c r="G285" i="2"/>
  <c r="G413" i="2"/>
  <c r="H288" i="2"/>
  <c r="G288" i="2"/>
  <c r="H275" i="2"/>
  <c r="G275" i="2"/>
  <c r="G276" i="2"/>
  <c r="H276" i="2"/>
  <c r="G286" i="2"/>
  <c r="H286" i="2"/>
  <c r="H294" i="2"/>
  <c r="G294" i="2"/>
  <c r="H284" i="2"/>
  <c r="G284" i="2"/>
  <c r="H287" i="2"/>
  <c r="G287" i="2"/>
  <c r="H290" i="2"/>
  <c r="G414" i="2"/>
  <c r="G140" i="2"/>
  <c r="AA320" i="2" l="1"/>
  <c r="H320" i="2" s="1"/>
  <c r="Z320" i="2"/>
  <c r="O320" i="2"/>
  <c r="AA352" i="2"/>
  <c r="H352" i="2" s="1"/>
  <c r="Z352" i="2"/>
  <c r="O352" i="2"/>
  <c r="AA346" i="2"/>
  <c r="H346" i="2" s="1"/>
  <c r="Z346" i="2"/>
  <c r="O346" i="2"/>
  <c r="AA323" i="2"/>
  <c r="H323" i="2" s="1"/>
  <c r="Z323" i="2"/>
  <c r="O323" i="2"/>
  <c r="AA322" i="2"/>
  <c r="H322" i="2" s="1"/>
  <c r="Z322" i="2"/>
  <c r="O322" i="2"/>
  <c r="AA311" i="2"/>
  <c r="H311" i="2" s="1"/>
  <c r="Z311" i="2"/>
  <c r="O311" i="2"/>
  <c r="AA308" i="2"/>
  <c r="H308" i="2" s="1"/>
  <c r="Z308" i="2"/>
  <c r="O308" i="2"/>
  <c r="AA344" i="2"/>
  <c r="H344" i="2" s="1"/>
  <c r="Z344" i="2"/>
  <c r="O344" i="2"/>
  <c r="AA313" i="2"/>
  <c r="G313" i="2" s="1"/>
  <c r="Z313" i="2"/>
  <c r="O313" i="2"/>
  <c r="AA314" i="2"/>
  <c r="H314" i="2" s="1"/>
  <c r="Z314" i="2"/>
  <c r="O314" i="2"/>
  <c r="AA309" i="2"/>
  <c r="H309" i="2" s="1"/>
  <c r="Z309" i="2"/>
  <c r="O309" i="2"/>
  <c r="F309" i="2"/>
  <c r="AA137" i="2"/>
  <c r="H137" i="2" s="1"/>
  <c r="Z137" i="2"/>
  <c r="O137" i="2"/>
  <c r="F137" i="2"/>
  <c r="AA312" i="2"/>
  <c r="H312" i="2" s="1"/>
  <c r="Z312" i="2"/>
  <c r="O312" i="2"/>
  <c r="G346" i="2" l="1"/>
  <c r="H313" i="2"/>
  <c r="G309" i="2"/>
  <c r="G320" i="2"/>
  <c r="G352" i="2"/>
  <c r="G323" i="2"/>
  <c r="G322" i="2"/>
  <c r="G311" i="2"/>
  <c r="G308" i="2"/>
  <c r="G344" i="2"/>
  <c r="G314" i="2"/>
  <c r="G137" i="2"/>
  <c r="G312" i="2"/>
  <c r="F106" i="1"/>
  <c r="L106" i="1"/>
  <c r="Q106" i="1"/>
  <c r="F28" i="1"/>
  <c r="L28" i="1"/>
  <c r="Q28" i="1"/>
  <c r="F75" i="1"/>
  <c r="L75" i="1"/>
  <c r="Q75" i="1"/>
  <c r="F53" i="1"/>
  <c r="L53" i="1"/>
  <c r="Q53" i="1"/>
  <c r="F78" i="1"/>
  <c r="L78" i="1"/>
  <c r="Q78" i="1"/>
  <c r="F30" i="1"/>
  <c r="L30" i="1"/>
  <c r="Q30" i="1"/>
  <c r="AA228" i="2"/>
  <c r="H228" i="2" s="1"/>
  <c r="Z228" i="2"/>
  <c r="O228" i="2"/>
  <c r="AA221" i="2"/>
  <c r="H221" i="2" s="1"/>
  <c r="Z221" i="2"/>
  <c r="O221" i="2"/>
  <c r="AA209" i="2"/>
  <c r="H209" i="2" s="1"/>
  <c r="Z209" i="2"/>
  <c r="O209" i="2"/>
  <c r="AA195" i="2"/>
  <c r="H195" i="2" s="1"/>
  <c r="Z195" i="2"/>
  <c r="O195" i="2"/>
  <c r="AA189" i="2"/>
  <c r="H189" i="2" s="1"/>
  <c r="Z189" i="2"/>
  <c r="O189" i="2"/>
  <c r="AA178" i="2"/>
  <c r="G178" i="2" s="1"/>
  <c r="Z178" i="2"/>
  <c r="O178" i="2"/>
  <c r="AA174" i="2"/>
  <c r="G174" i="2" s="1"/>
  <c r="Z174" i="2"/>
  <c r="O174" i="2"/>
  <c r="AA167" i="2"/>
  <c r="H167" i="2" s="1"/>
  <c r="Z167" i="2"/>
  <c r="O167" i="2"/>
  <c r="AA158" i="2"/>
  <c r="G158" i="2" s="1"/>
  <c r="Z158" i="2"/>
  <c r="AA151" i="2"/>
  <c r="H151" i="2" s="1"/>
  <c r="Z151" i="2"/>
  <c r="O151" i="2"/>
  <c r="AA145" i="2"/>
  <c r="H145" i="2" s="1"/>
  <c r="Z145" i="2"/>
  <c r="O145" i="2"/>
  <c r="AA142" i="2"/>
  <c r="H142" i="2" s="1"/>
  <c r="Z142" i="2"/>
  <c r="O142" i="2"/>
  <c r="AA132" i="2"/>
  <c r="H132" i="2" s="1"/>
  <c r="Z132" i="2"/>
  <c r="O132" i="2"/>
  <c r="AA110" i="2"/>
  <c r="H110" i="2" s="1"/>
  <c r="Z110" i="2"/>
  <c r="O110" i="2"/>
  <c r="AA106" i="2"/>
  <c r="G106" i="2" s="1"/>
  <c r="Z106" i="2"/>
  <c r="O106" i="2"/>
  <c r="AA342" i="2"/>
  <c r="H342" i="2" s="1"/>
  <c r="Z342" i="2"/>
  <c r="O342" i="2"/>
  <c r="AA279" i="2"/>
  <c r="H279" i="2" s="1"/>
  <c r="Z279" i="2"/>
  <c r="O279" i="2"/>
  <c r="F279" i="2"/>
  <c r="AA131" i="2"/>
  <c r="H131" i="2" s="1"/>
  <c r="Z131" i="2"/>
  <c r="O131" i="2"/>
  <c r="F131" i="2"/>
  <c r="AA301" i="2"/>
  <c r="H301" i="2" s="1"/>
  <c r="Z301" i="2"/>
  <c r="O301" i="2"/>
  <c r="AA303" i="2"/>
  <c r="H303" i="2" s="1"/>
  <c r="Z303" i="2"/>
  <c r="O303" i="2"/>
  <c r="AA306" i="2"/>
  <c r="H306" i="2" s="1"/>
  <c r="Z306" i="2"/>
  <c r="O306" i="2"/>
  <c r="AA302" i="2"/>
  <c r="H302" i="2" s="1"/>
  <c r="Z302" i="2"/>
  <c r="O302" i="2"/>
  <c r="F41" i="1"/>
  <c r="F96" i="1"/>
  <c r="F97" i="1"/>
  <c r="L97" i="1"/>
  <c r="Q97" i="1"/>
  <c r="F80" i="1"/>
  <c r="L80" i="1"/>
  <c r="Q80" i="1"/>
  <c r="F33" i="1"/>
  <c r="L33" i="1"/>
  <c r="Q33" i="1"/>
  <c r="F51" i="1"/>
  <c r="L51" i="1"/>
  <c r="Q51" i="1"/>
  <c r="F42" i="1"/>
  <c r="L42" i="1"/>
  <c r="Q42" i="1"/>
  <c r="F69" i="1"/>
  <c r="L69" i="1"/>
  <c r="Q69" i="1"/>
  <c r="D4" i="9"/>
  <c r="D8" i="9"/>
  <c r="D6" i="9"/>
  <c r="D7" i="9"/>
  <c r="N5" i="9"/>
  <c r="D5" i="9"/>
  <c r="N17" i="9"/>
  <c r="D17" i="9"/>
  <c r="N15" i="9"/>
  <c r="D15" i="9"/>
  <c r="N16" i="9"/>
  <c r="D16" i="9"/>
  <c r="N12" i="9"/>
  <c r="D12" i="9"/>
  <c r="N14" i="9"/>
  <c r="D14" i="9"/>
  <c r="D13" i="9"/>
  <c r="N9" i="9"/>
  <c r="D9" i="9"/>
  <c r="N10" i="9"/>
  <c r="D10" i="9"/>
  <c r="N11" i="9"/>
  <c r="D11" i="9"/>
  <c r="N3" i="9"/>
  <c r="D3" i="9"/>
  <c r="N2" i="9"/>
  <c r="D2" i="9"/>
  <c r="AA412" i="2"/>
  <c r="H412" i="2" s="1"/>
  <c r="Z412" i="2"/>
  <c r="O412" i="2"/>
  <c r="F412" i="2"/>
  <c r="AA274" i="2"/>
  <c r="H274" i="2" s="1"/>
  <c r="Z274" i="2"/>
  <c r="O274" i="2"/>
  <c r="F274" i="2"/>
  <c r="AA292" i="2"/>
  <c r="G292" i="2" s="1"/>
  <c r="Z292" i="2"/>
  <c r="O292" i="2"/>
  <c r="F292" i="2"/>
  <c r="AA130" i="2"/>
  <c r="G130" i="2" s="1"/>
  <c r="Z130" i="2"/>
  <c r="O130" i="2"/>
  <c r="F130" i="2"/>
  <c r="G151" i="2" l="1"/>
  <c r="G167" i="2"/>
  <c r="H130" i="2"/>
  <c r="G221" i="2"/>
  <c r="G132" i="2"/>
  <c r="G145" i="2"/>
  <c r="H106" i="2"/>
  <c r="G189" i="2"/>
  <c r="G209" i="2"/>
  <c r="G279" i="2"/>
  <c r="H174" i="2"/>
  <c r="H178" i="2"/>
  <c r="G228" i="2"/>
  <c r="G142" i="2"/>
  <c r="H158" i="2"/>
  <c r="G195" i="2"/>
  <c r="G110" i="2"/>
  <c r="G342" i="2"/>
  <c r="G131" i="2"/>
  <c r="G301" i="2"/>
  <c r="G303" i="2"/>
  <c r="G306" i="2"/>
  <c r="G302" i="2"/>
  <c r="H292" i="2"/>
  <c r="G412" i="2"/>
  <c r="G274" i="2"/>
  <c r="AA293" i="2" l="1"/>
  <c r="H293" i="2" s="1"/>
  <c r="Z293" i="2"/>
  <c r="O293" i="2"/>
  <c r="AA341" i="2"/>
  <c r="H341" i="2" s="1"/>
  <c r="Z341" i="2"/>
  <c r="AA298" i="2"/>
  <c r="H298" i="2" s="1"/>
  <c r="Z298" i="2"/>
  <c r="O298" i="2"/>
  <c r="AA296" i="2"/>
  <c r="H296" i="2" s="1"/>
  <c r="Z296" i="2"/>
  <c r="AA299" i="2"/>
  <c r="H299" i="2" s="1"/>
  <c r="Z299" i="2"/>
  <c r="O299" i="2"/>
  <c r="G299" i="2" l="1"/>
  <c r="G293" i="2"/>
  <c r="G341" i="2"/>
  <c r="G298" i="2"/>
  <c r="G296" i="2"/>
  <c r="F14" i="1" l="1"/>
  <c r="F73" i="1"/>
  <c r="F58" i="1"/>
  <c r="F65" i="1"/>
  <c r="F95" i="1"/>
  <c r="F84" i="1"/>
  <c r="AA340" i="2" l="1"/>
  <c r="H340" i="2" s="1"/>
  <c r="Z340" i="2"/>
  <c r="O340" i="2"/>
  <c r="AA291" i="2"/>
  <c r="H291" i="2" s="1"/>
  <c r="Z291" i="2"/>
  <c r="AA289" i="2"/>
  <c r="G289" i="2" s="1"/>
  <c r="Z289" i="2"/>
  <c r="O289" i="2"/>
  <c r="G340" i="2" l="1"/>
  <c r="G291" i="2"/>
  <c r="H289" i="2"/>
  <c r="AA128" i="2" l="1"/>
  <c r="H128" i="2" s="1"/>
  <c r="Z128" i="2"/>
  <c r="O128" i="2"/>
  <c r="F128" i="2"/>
  <c r="G128" i="2" l="1"/>
  <c r="G3" i="1"/>
  <c r="G45" i="1"/>
  <c r="G48" i="1"/>
  <c r="G70" i="1"/>
  <c r="G34" i="1"/>
  <c r="G98" i="1"/>
  <c r="G91" i="1"/>
  <c r="P33" i="4" l="1"/>
  <c r="P34" i="4"/>
  <c r="P35" i="4"/>
  <c r="P36" i="4"/>
  <c r="P37" i="4"/>
  <c r="P38" i="4"/>
  <c r="P39" i="4"/>
  <c r="P40" i="4"/>
  <c r="Q33" i="4"/>
  <c r="Q34" i="4"/>
  <c r="Q35" i="4"/>
  <c r="Q36" i="4"/>
  <c r="Q37" i="4"/>
  <c r="Q38" i="4"/>
  <c r="Q39" i="4"/>
  <c r="Q40" i="4"/>
  <c r="F107" i="1"/>
  <c r="G107" i="1"/>
  <c r="L107" i="1"/>
  <c r="BG107" i="1"/>
  <c r="BH107" i="1"/>
  <c r="F87" i="1"/>
  <c r="G87" i="1"/>
  <c r="L87" i="1"/>
  <c r="BG87" i="1"/>
  <c r="BH87" i="1"/>
  <c r="F110" i="1"/>
  <c r="G110" i="1"/>
  <c r="L110" i="1"/>
  <c r="BG110" i="1"/>
  <c r="BH110" i="1"/>
  <c r="F29" i="1"/>
  <c r="G29" i="1"/>
  <c r="L29" i="1"/>
  <c r="BG29" i="1"/>
  <c r="BH29" i="1"/>
  <c r="F72" i="1"/>
  <c r="G72" i="1"/>
  <c r="L72" i="1"/>
  <c r="BG72" i="1"/>
  <c r="BH72" i="1"/>
  <c r="F56" i="1"/>
  <c r="G56" i="1"/>
  <c r="L56" i="1"/>
  <c r="BG56" i="1"/>
  <c r="BH56" i="1"/>
  <c r="F61" i="1"/>
  <c r="G61" i="1"/>
  <c r="L61" i="1"/>
  <c r="BG61" i="1"/>
  <c r="BH61" i="1"/>
  <c r="F10" i="1"/>
  <c r="G10" i="1"/>
  <c r="L10" i="1"/>
  <c r="BG10" i="1"/>
  <c r="BH10" i="1"/>
  <c r="AA411" i="2" l="1"/>
  <c r="H411" i="2" s="1"/>
  <c r="Z411" i="2"/>
  <c r="O411" i="2"/>
  <c r="F411" i="2"/>
  <c r="AA273" i="2"/>
  <c r="H273" i="2" s="1"/>
  <c r="Z273" i="2"/>
  <c r="O273" i="2"/>
  <c r="F273" i="2"/>
  <c r="AA281" i="2"/>
  <c r="H281" i="2" s="1"/>
  <c r="Z281" i="2"/>
  <c r="O281" i="2"/>
  <c r="F281" i="2"/>
  <c r="AA120" i="2"/>
  <c r="H120" i="2" s="1"/>
  <c r="Z120" i="2"/>
  <c r="O120" i="2"/>
  <c r="F120" i="2"/>
  <c r="AA335" i="2"/>
  <c r="G335" i="2" s="1"/>
  <c r="Z335" i="2"/>
  <c r="O335" i="2"/>
  <c r="AA282" i="2"/>
  <c r="H282" i="2" s="1"/>
  <c r="Z282" i="2"/>
  <c r="O282" i="2"/>
  <c r="AA280" i="2"/>
  <c r="H280" i="2" s="1"/>
  <c r="Z280" i="2"/>
  <c r="O280" i="2"/>
  <c r="AA283" i="2"/>
  <c r="H283" i="2" s="1"/>
  <c r="Z283" i="2"/>
  <c r="O283" i="2"/>
  <c r="G411" i="2" l="1"/>
  <c r="G280" i="2"/>
  <c r="G120" i="2"/>
  <c r="G283" i="2"/>
  <c r="G273" i="2"/>
  <c r="H335" i="2"/>
  <c r="G281" i="2"/>
  <c r="G282" i="2"/>
  <c r="BH74" i="1"/>
  <c r="BG74" i="1"/>
  <c r="BH118" i="1"/>
  <c r="BG118" i="1"/>
  <c r="P32" i="4" l="1"/>
  <c r="Q32" i="4"/>
  <c r="F74" i="1" l="1"/>
  <c r="G74" i="1"/>
  <c r="L74" i="1"/>
  <c r="G118" i="1" l="1"/>
  <c r="G11" i="1"/>
  <c r="G55" i="1"/>
  <c r="P26" i="4" l="1"/>
  <c r="P27" i="4"/>
  <c r="P28" i="4"/>
  <c r="P29" i="4"/>
  <c r="P30" i="4"/>
  <c r="P31" i="4"/>
  <c r="Q26" i="4"/>
  <c r="Q27" i="4"/>
  <c r="Q28" i="4"/>
  <c r="Q29" i="4"/>
  <c r="Q30" i="4"/>
  <c r="Q31" i="4"/>
  <c r="F89" i="1"/>
  <c r="G89" i="1"/>
  <c r="L89" i="1"/>
  <c r="BG89" i="1"/>
  <c r="BH89" i="1"/>
  <c r="F83" i="1"/>
  <c r="G83" i="1"/>
  <c r="L83" i="1"/>
  <c r="BG83" i="1"/>
  <c r="BH83" i="1"/>
  <c r="F49" i="1"/>
  <c r="G49" i="1"/>
  <c r="L49" i="1"/>
  <c r="BG49" i="1"/>
  <c r="BH49" i="1"/>
  <c r="F52" i="1"/>
  <c r="G52" i="1"/>
  <c r="L52" i="1"/>
  <c r="BG52" i="1"/>
  <c r="BH52" i="1"/>
  <c r="F55" i="1"/>
  <c r="L55" i="1"/>
  <c r="BG55" i="1"/>
  <c r="BH55" i="1"/>
  <c r="F11" i="1"/>
  <c r="L11" i="1"/>
  <c r="BG11" i="1"/>
  <c r="BH11" i="1"/>
  <c r="P25" i="4"/>
  <c r="Q25" i="4"/>
  <c r="F118" i="1"/>
  <c r="L118" i="1"/>
  <c r="AA277" i="2" l="1"/>
  <c r="H277" i="2" s="1"/>
  <c r="Z277" i="2"/>
  <c r="O277" i="2"/>
  <c r="AA325" i="2"/>
  <c r="H325" i="2" s="1"/>
  <c r="Z325" i="2"/>
  <c r="O325" i="2"/>
  <c r="AA272" i="2"/>
  <c r="H272" i="2" s="1"/>
  <c r="Z272" i="2"/>
  <c r="O272" i="2"/>
  <c r="AA271" i="2"/>
  <c r="H271" i="2" s="1"/>
  <c r="Z271" i="2"/>
  <c r="O271" i="2"/>
  <c r="AA278" i="2"/>
  <c r="H278" i="2" s="1"/>
  <c r="Z278" i="2"/>
  <c r="O278" i="2"/>
  <c r="F278" i="2"/>
  <c r="AA410" i="2"/>
  <c r="H410" i="2" s="1"/>
  <c r="Z410" i="2"/>
  <c r="O410" i="2"/>
  <c r="F410" i="2"/>
  <c r="AA267" i="2"/>
  <c r="H267" i="2" s="1"/>
  <c r="Z267" i="2"/>
  <c r="O267" i="2"/>
  <c r="F267" i="2"/>
  <c r="AA270" i="2"/>
  <c r="H270" i="2" s="1"/>
  <c r="Z270" i="2"/>
  <c r="O270" i="2"/>
  <c r="F270" i="2"/>
  <c r="AA116" i="2"/>
  <c r="H116" i="2" s="1"/>
  <c r="Z116" i="2"/>
  <c r="O116" i="2"/>
  <c r="F116" i="2"/>
  <c r="G278" i="2" l="1"/>
  <c r="G325" i="2"/>
  <c r="G277" i="2"/>
  <c r="G272" i="2"/>
  <c r="G271" i="2"/>
  <c r="G410" i="2"/>
  <c r="G267" i="2"/>
  <c r="G270" i="2"/>
  <c r="G116" i="2"/>
  <c r="BG3" i="1" l="1"/>
  <c r="BH3" i="1"/>
  <c r="BG45" i="1"/>
  <c r="BH45" i="1"/>
  <c r="BG48" i="1"/>
  <c r="BH48" i="1"/>
  <c r="BG70" i="1"/>
  <c r="BH70" i="1"/>
  <c r="BG34" i="1"/>
  <c r="BH34" i="1"/>
  <c r="BG98" i="1"/>
  <c r="BH98" i="1"/>
  <c r="BG91" i="1"/>
  <c r="BH91" i="1"/>
  <c r="P18" i="4" l="1"/>
  <c r="P19" i="4"/>
  <c r="P20" i="4"/>
  <c r="P21" i="4"/>
  <c r="P22" i="4"/>
  <c r="P23" i="4"/>
  <c r="P24" i="4"/>
  <c r="Q18" i="4"/>
  <c r="Q19" i="4"/>
  <c r="Q20" i="4"/>
  <c r="Q21" i="4"/>
  <c r="Q22" i="4"/>
  <c r="Q23" i="4"/>
  <c r="Q24" i="4"/>
  <c r="G64" i="1" l="1"/>
  <c r="G60" i="1"/>
  <c r="G36" i="1"/>
  <c r="G5" i="1"/>
  <c r="G22" i="1"/>
  <c r="G44" i="1"/>
  <c r="G2" i="1"/>
  <c r="G12" i="1"/>
  <c r="G47" i="1"/>
  <c r="G105" i="1"/>
  <c r="G85" i="1"/>
  <c r="G100" i="1"/>
  <c r="F91" i="1"/>
  <c r="L91" i="1"/>
  <c r="F98" i="1"/>
  <c r="L98" i="1"/>
  <c r="F34" i="1"/>
  <c r="L34" i="1"/>
  <c r="F70" i="1"/>
  <c r="L70" i="1"/>
  <c r="F48" i="1"/>
  <c r="L48" i="1"/>
  <c r="F45" i="1"/>
  <c r="L45" i="1"/>
  <c r="F3" i="1"/>
  <c r="L3" i="1"/>
  <c r="G7" i="1" l="1"/>
  <c r="P10" i="4" l="1"/>
  <c r="P11" i="4"/>
  <c r="P12" i="4"/>
  <c r="P13" i="4"/>
  <c r="P14" i="4"/>
  <c r="P15" i="4"/>
  <c r="P16" i="4"/>
  <c r="P17" i="4"/>
  <c r="Q10" i="4"/>
  <c r="Q11" i="4"/>
  <c r="Q12" i="4"/>
  <c r="Q13" i="4"/>
  <c r="Q14" i="4"/>
  <c r="Q15" i="4"/>
  <c r="Q16" i="4"/>
  <c r="Q17" i="4"/>
  <c r="L119" i="1"/>
  <c r="BG119" i="1"/>
  <c r="BH119" i="1"/>
  <c r="F103" i="1"/>
  <c r="G103" i="1"/>
  <c r="L103" i="1"/>
  <c r="BG103" i="1"/>
  <c r="BH103" i="1"/>
  <c r="F88" i="1"/>
  <c r="G88" i="1"/>
  <c r="L88" i="1"/>
  <c r="BG88" i="1"/>
  <c r="BH88" i="1"/>
  <c r="F102" i="1"/>
  <c r="G102" i="1"/>
  <c r="L102" i="1"/>
  <c r="BG102" i="1"/>
  <c r="BH102" i="1"/>
  <c r="F38" i="1"/>
  <c r="G38" i="1"/>
  <c r="L38" i="1"/>
  <c r="BG38" i="1"/>
  <c r="BH38" i="1"/>
  <c r="F79" i="1"/>
  <c r="G79" i="1"/>
  <c r="L79" i="1"/>
  <c r="BG79" i="1"/>
  <c r="BH79" i="1"/>
  <c r="F66" i="1"/>
  <c r="G66" i="1"/>
  <c r="L66" i="1"/>
  <c r="BG66" i="1"/>
  <c r="BH66" i="1"/>
  <c r="F7" i="1"/>
  <c r="L7" i="1"/>
  <c r="BG7" i="1"/>
  <c r="BH7" i="1"/>
  <c r="AA268" i="2" l="1"/>
  <c r="H268" i="2" s="1"/>
  <c r="Z268" i="2"/>
  <c r="O268" i="2"/>
  <c r="AA324" i="2"/>
  <c r="H324" i="2" s="1"/>
  <c r="Z324" i="2"/>
  <c r="O324" i="2"/>
  <c r="AA261" i="2"/>
  <c r="H261" i="2" s="1"/>
  <c r="Z261" i="2"/>
  <c r="O261" i="2"/>
  <c r="AA266" i="2"/>
  <c r="H266" i="2" s="1"/>
  <c r="Z266" i="2"/>
  <c r="O266" i="2"/>
  <c r="AA265" i="2"/>
  <c r="H265" i="2" s="1"/>
  <c r="Z265" i="2"/>
  <c r="O265" i="2"/>
  <c r="G261" i="2" l="1"/>
  <c r="G266" i="2"/>
  <c r="G268" i="2"/>
  <c r="G324" i="2"/>
  <c r="G265" i="2"/>
  <c r="AA269" i="2" l="1"/>
  <c r="H269" i="2" s="1"/>
  <c r="Z269" i="2"/>
  <c r="O269" i="2"/>
  <c r="F269" i="2"/>
  <c r="AA409" i="2"/>
  <c r="H409" i="2" s="1"/>
  <c r="Z409" i="2"/>
  <c r="O409" i="2"/>
  <c r="F409" i="2"/>
  <c r="AA264" i="2"/>
  <c r="H264" i="2" s="1"/>
  <c r="Z264" i="2"/>
  <c r="O264" i="2"/>
  <c r="F264" i="2"/>
  <c r="AA260" i="2"/>
  <c r="G260" i="2" s="1"/>
  <c r="Z260" i="2"/>
  <c r="O260" i="2"/>
  <c r="F260" i="2"/>
  <c r="AA105" i="2"/>
  <c r="G105" i="2" s="1"/>
  <c r="Z105" i="2"/>
  <c r="O105" i="2"/>
  <c r="F105" i="2"/>
  <c r="G269" i="2" l="1"/>
  <c r="H260" i="2"/>
  <c r="G409" i="2"/>
  <c r="G264" i="2"/>
  <c r="H105" i="2"/>
  <c r="P9" i="4"/>
  <c r="Q9" i="4"/>
  <c r="F112" i="1" l="1"/>
  <c r="G112" i="1"/>
  <c r="L112" i="1"/>
  <c r="BG112" i="1"/>
  <c r="BH112" i="1"/>
  <c r="AA258" i="2" l="1"/>
  <c r="H258" i="2" s="1"/>
  <c r="Z258" i="2"/>
  <c r="O258" i="2"/>
  <c r="F258" i="2"/>
  <c r="G258" i="2" l="1"/>
  <c r="P8" i="4" l="1"/>
  <c r="Q8" i="4"/>
  <c r="F57" i="1" l="1"/>
  <c r="G57" i="1"/>
  <c r="L57" i="1"/>
  <c r="BG57" i="1"/>
  <c r="BH57" i="1"/>
  <c r="BH117" i="1" l="1"/>
  <c r="BG117" i="1"/>
  <c r="BH86" i="1"/>
  <c r="BG86" i="1"/>
  <c r="BH82" i="1"/>
  <c r="BG82" i="1"/>
  <c r="BH37" i="1"/>
  <c r="BG37" i="1"/>
  <c r="BH46" i="1"/>
  <c r="BG46" i="1"/>
  <c r="BG13" i="1"/>
  <c r="BH13" i="1"/>
  <c r="P5" i="4" l="1"/>
  <c r="Q5" i="4"/>
  <c r="P6" i="4"/>
  <c r="Q6" i="4"/>
  <c r="P7" i="4"/>
  <c r="Q7" i="4"/>
  <c r="P3" i="4"/>
  <c r="Q3" i="4"/>
  <c r="P4" i="4"/>
  <c r="Q4" i="4"/>
  <c r="Q2" i="4"/>
  <c r="P2" i="4"/>
  <c r="F117" i="1" l="1"/>
  <c r="G117" i="1"/>
  <c r="L117" i="1"/>
  <c r="F46" i="1"/>
  <c r="G46" i="1"/>
  <c r="L46" i="1"/>
  <c r="F86" i="1"/>
  <c r="G86" i="1"/>
  <c r="L86" i="1"/>
  <c r="F82" i="1"/>
  <c r="G82" i="1"/>
  <c r="L82" i="1"/>
  <c r="F37" i="1"/>
  <c r="G37" i="1"/>
  <c r="L37" i="1"/>
  <c r="G13" i="1"/>
  <c r="L13" i="1"/>
  <c r="L100" i="1" l="1"/>
  <c r="F100" i="1" l="1"/>
  <c r="AH100" i="1"/>
  <c r="AI100" i="1"/>
  <c r="AJ100" i="1"/>
  <c r="AK100" i="1"/>
  <c r="AL100" i="1"/>
  <c r="AM100" i="1"/>
  <c r="AN100" i="1"/>
  <c r="AO100" i="1"/>
  <c r="F85" i="1"/>
  <c r="L85" i="1"/>
  <c r="AH85" i="1"/>
  <c r="AI85" i="1"/>
  <c r="AJ85" i="1"/>
  <c r="AK85" i="1"/>
  <c r="AL85" i="1"/>
  <c r="AM85" i="1"/>
  <c r="AN85" i="1"/>
  <c r="AO85" i="1"/>
  <c r="F105" i="1"/>
  <c r="L105" i="1"/>
  <c r="AH105" i="1"/>
  <c r="AI105" i="1"/>
  <c r="AJ105" i="1"/>
  <c r="AK105" i="1"/>
  <c r="AL105" i="1"/>
  <c r="AM105" i="1"/>
  <c r="AN105" i="1"/>
  <c r="AO105" i="1"/>
  <c r="F64" i="1"/>
  <c r="L64" i="1"/>
  <c r="AH64" i="1"/>
  <c r="AI64" i="1"/>
  <c r="AJ64" i="1"/>
  <c r="AK64" i="1"/>
  <c r="AL64" i="1"/>
  <c r="AM64" i="1"/>
  <c r="AN64" i="1"/>
  <c r="AO64" i="1"/>
  <c r="F36" i="1"/>
  <c r="L36" i="1"/>
  <c r="AH36" i="1"/>
  <c r="AI36" i="1"/>
  <c r="AJ36" i="1"/>
  <c r="AK36" i="1"/>
  <c r="AL36" i="1"/>
  <c r="AM36" i="1"/>
  <c r="AN36" i="1"/>
  <c r="AO36" i="1"/>
  <c r="F60" i="1"/>
  <c r="L60" i="1"/>
  <c r="AH60" i="1"/>
  <c r="AI60" i="1"/>
  <c r="AJ60" i="1"/>
  <c r="AK60" i="1"/>
  <c r="AL60" i="1"/>
  <c r="AM60" i="1"/>
  <c r="AN60" i="1"/>
  <c r="AO60" i="1"/>
  <c r="F44" i="1"/>
  <c r="L44" i="1"/>
  <c r="AH44" i="1"/>
  <c r="AI44" i="1"/>
  <c r="AJ44" i="1"/>
  <c r="AK44" i="1"/>
  <c r="AL44" i="1"/>
  <c r="AM44" i="1"/>
  <c r="AN44" i="1"/>
  <c r="AO44" i="1"/>
  <c r="F22" i="1"/>
  <c r="L22" i="1"/>
  <c r="AH22" i="1"/>
  <c r="AI22" i="1"/>
  <c r="AJ22" i="1"/>
  <c r="AK22" i="1"/>
  <c r="AL22" i="1"/>
  <c r="AM22" i="1"/>
  <c r="AN22" i="1"/>
  <c r="AO22" i="1"/>
  <c r="F5" i="1"/>
  <c r="L5" i="1"/>
  <c r="AH5" i="1"/>
  <c r="AI5" i="1"/>
  <c r="AJ5" i="1"/>
  <c r="AK5" i="1"/>
  <c r="AL5" i="1"/>
  <c r="AM5" i="1"/>
  <c r="AN5" i="1"/>
  <c r="AO5" i="1"/>
  <c r="F47" i="1"/>
  <c r="L47" i="1"/>
  <c r="AH47" i="1"/>
  <c r="AI47" i="1"/>
  <c r="AJ47" i="1"/>
  <c r="AK47" i="1"/>
  <c r="AL47" i="1"/>
  <c r="AM47" i="1"/>
  <c r="AN47" i="1"/>
  <c r="AO47" i="1"/>
  <c r="F12" i="1"/>
  <c r="L12" i="1"/>
  <c r="AH12" i="1"/>
  <c r="AI12" i="1"/>
  <c r="AJ12" i="1"/>
  <c r="AK12" i="1"/>
  <c r="AL12" i="1"/>
  <c r="AM12" i="1"/>
  <c r="AN12" i="1"/>
  <c r="AO12" i="1"/>
  <c r="F2" i="1" l="1"/>
  <c r="L2" i="1"/>
  <c r="AH2" i="1"/>
  <c r="AI2" i="1"/>
  <c r="AJ2" i="1"/>
  <c r="AK2" i="1"/>
  <c r="AL2" i="1"/>
  <c r="AM2" i="1"/>
  <c r="AN2" i="1"/>
  <c r="AO2" i="1"/>
  <c r="F109" i="1" l="1"/>
  <c r="G109" i="1"/>
  <c r="L109" i="1"/>
  <c r="AH109" i="1"/>
  <c r="AI109" i="1"/>
  <c r="AJ109" i="1"/>
  <c r="AK109" i="1"/>
  <c r="AL109" i="1"/>
  <c r="AM109" i="1"/>
  <c r="AN109" i="1"/>
  <c r="AO109" i="1"/>
  <c r="G90" i="1"/>
  <c r="G23" i="1"/>
  <c r="G32" i="1"/>
  <c r="G31" i="1"/>
  <c r="G19" i="1"/>
  <c r="G63" i="1"/>
  <c r="G99" i="1"/>
  <c r="G111" i="1"/>
  <c r="F111" i="1" l="1"/>
  <c r="L111" i="1"/>
  <c r="AH111" i="1"/>
  <c r="AI111" i="1"/>
  <c r="AJ111" i="1"/>
  <c r="AK111" i="1"/>
  <c r="AL111" i="1"/>
  <c r="AM111" i="1"/>
  <c r="AN111" i="1"/>
  <c r="AO111" i="1"/>
  <c r="F99" i="1"/>
  <c r="L99" i="1"/>
  <c r="AH99" i="1"/>
  <c r="AI99" i="1"/>
  <c r="AJ99" i="1"/>
  <c r="AK99" i="1"/>
  <c r="AL99" i="1"/>
  <c r="AM99" i="1"/>
  <c r="AN99" i="1"/>
  <c r="AO99" i="1"/>
  <c r="F63" i="1"/>
  <c r="L63" i="1"/>
  <c r="AH63" i="1"/>
  <c r="AI63" i="1"/>
  <c r="AJ63" i="1"/>
  <c r="AK63" i="1"/>
  <c r="AL63" i="1"/>
  <c r="AM63" i="1"/>
  <c r="AN63" i="1"/>
  <c r="AO63" i="1"/>
  <c r="F19" i="1"/>
  <c r="L19" i="1"/>
  <c r="AH19" i="1"/>
  <c r="AI19" i="1"/>
  <c r="AJ19" i="1"/>
  <c r="AK19" i="1"/>
  <c r="AL19" i="1"/>
  <c r="AM19" i="1"/>
  <c r="AN19" i="1"/>
  <c r="AO19" i="1"/>
  <c r="F31" i="1"/>
  <c r="L31" i="1"/>
  <c r="AH31" i="1"/>
  <c r="AI31" i="1"/>
  <c r="AJ31" i="1"/>
  <c r="AK31" i="1"/>
  <c r="AL31" i="1"/>
  <c r="AM31" i="1"/>
  <c r="AN31" i="1"/>
  <c r="AO31" i="1"/>
  <c r="F32" i="1"/>
  <c r="L32" i="1"/>
  <c r="AH32" i="1"/>
  <c r="AI32" i="1"/>
  <c r="AJ32" i="1"/>
  <c r="AK32" i="1"/>
  <c r="AL32" i="1"/>
  <c r="AM32" i="1"/>
  <c r="AN32" i="1"/>
  <c r="AO32" i="1"/>
  <c r="F23" i="1"/>
  <c r="L23" i="1"/>
  <c r="AH23" i="1"/>
  <c r="AI23" i="1"/>
  <c r="AJ23" i="1"/>
  <c r="AK23" i="1"/>
  <c r="AL23" i="1"/>
  <c r="AM23" i="1"/>
  <c r="AN23" i="1"/>
  <c r="AO23" i="1"/>
  <c r="G115" i="1" l="1"/>
  <c r="G16" i="1"/>
  <c r="G62" i="1"/>
  <c r="G27" i="1"/>
  <c r="G71" i="1"/>
  <c r="G25" i="1"/>
  <c r="G67" i="1"/>
  <c r="G94" i="1"/>
  <c r="G114" i="1"/>
  <c r="AH39" i="1" l="1"/>
  <c r="AH21" i="1"/>
  <c r="AH17" i="1"/>
  <c r="AH40" i="1"/>
  <c r="AH26" i="1"/>
  <c r="AH81" i="1"/>
  <c r="AH104" i="1"/>
  <c r="AH90" i="1"/>
  <c r="F90" i="1" l="1"/>
  <c r="L90" i="1"/>
  <c r="AI90" i="1"/>
  <c r="AJ90" i="1"/>
  <c r="AK90" i="1"/>
  <c r="AL90" i="1"/>
  <c r="AM90" i="1"/>
  <c r="AN90" i="1"/>
  <c r="AO90" i="1"/>
  <c r="F104" i="1"/>
  <c r="G104" i="1"/>
  <c r="L104" i="1"/>
  <c r="AI104" i="1"/>
  <c r="AJ104" i="1"/>
  <c r="AK104" i="1"/>
  <c r="AL104" i="1"/>
  <c r="AM104" i="1"/>
  <c r="AN104" i="1"/>
  <c r="AO104" i="1"/>
  <c r="F81" i="1"/>
  <c r="G81" i="1"/>
  <c r="L81" i="1"/>
  <c r="AI81" i="1"/>
  <c r="AJ81" i="1"/>
  <c r="AK81" i="1"/>
  <c r="AL81" i="1"/>
  <c r="AM81" i="1"/>
  <c r="AN81" i="1"/>
  <c r="AO81" i="1"/>
  <c r="F26" i="1"/>
  <c r="G26" i="1"/>
  <c r="L26" i="1"/>
  <c r="AI26" i="1"/>
  <c r="AJ26" i="1"/>
  <c r="AK26" i="1"/>
  <c r="AL26" i="1"/>
  <c r="AM26" i="1"/>
  <c r="AN26" i="1"/>
  <c r="AO26" i="1"/>
  <c r="F40" i="1"/>
  <c r="G40" i="1"/>
  <c r="L40" i="1"/>
  <c r="AI40" i="1"/>
  <c r="AJ40" i="1"/>
  <c r="AK40" i="1"/>
  <c r="AL40" i="1"/>
  <c r="AM40" i="1"/>
  <c r="AN40" i="1"/>
  <c r="AO40" i="1"/>
  <c r="F17" i="1"/>
  <c r="G17" i="1"/>
  <c r="L17" i="1"/>
  <c r="AI17" i="1"/>
  <c r="AJ17" i="1"/>
  <c r="AK17" i="1"/>
  <c r="AL17" i="1"/>
  <c r="AM17" i="1"/>
  <c r="AN17" i="1"/>
  <c r="AO17" i="1"/>
  <c r="F21" i="1"/>
  <c r="G21" i="1"/>
  <c r="L21" i="1"/>
  <c r="AI21" i="1"/>
  <c r="AJ21" i="1"/>
  <c r="AK21" i="1"/>
  <c r="AL21" i="1"/>
  <c r="AM21" i="1"/>
  <c r="AN21" i="1"/>
  <c r="AO21" i="1"/>
  <c r="F39" i="1"/>
  <c r="G39" i="1"/>
  <c r="L39" i="1"/>
  <c r="AI39" i="1"/>
  <c r="AJ39" i="1"/>
  <c r="AK39" i="1"/>
  <c r="AL39" i="1"/>
  <c r="AM39" i="1"/>
  <c r="AN39" i="1"/>
  <c r="AO39" i="1"/>
  <c r="F115" i="1" l="1"/>
  <c r="AH115" i="1"/>
  <c r="AI115" i="1"/>
  <c r="AJ115" i="1"/>
  <c r="AK115" i="1"/>
  <c r="AL115" i="1"/>
  <c r="AM115" i="1"/>
  <c r="AN115" i="1"/>
  <c r="AO115" i="1"/>
  <c r="F114" i="1"/>
  <c r="L114" i="1"/>
  <c r="Q114" i="1"/>
  <c r="AH114" i="1"/>
  <c r="AI114" i="1"/>
  <c r="AJ114" i="1"/>
  <c r="AK114" i="1"/>
  <c r="AL114" i="1"/>
  <c r="AM114" i="1"/>
  <c r="AN114" i="1"/>
  <c r="AO114" i="1"/>
  <c r="F94" i="1"/>
  <c r="L94" i="1"/>
  <c r="Q94" i="1"/>
  <c r="AH94" i="1"/>
  <c r="AI94" i="1"/>
  <c r="AJ94" i="1"/>
  <c r="AK94" i="1"/>
  <c r="AL94" i="1"/>
  <c r="AM94" i="1"/>
  <c r="AN94" i="1"/>
  <c r="AO94" i="1"/>
  <c r="F25" i="1"/>
  <c r="F67" i="1"/>
  <c r="L25" i="1"/>
  <c r="L67" i="1"/>
  <c r="Q25" i="1"/>
  <c r="Q67" i="1"/>
  <c r="AH25" i="1"/>
  <c r="AH67" i="1"/>
  <c r="AI25" i="1"/>
  <c r="AI67" i="1"/>
  <c r="AJ25" i="1"/>
  <c r="AJ67" i="1"/>
  <c r="AK25" i="1"/>
  <c r="AK67" i="1"/>
  <c r="AL25" i="1"/>
  <c r="AL67" i="1"/>
  <c r="AM25" i="1"/>
  <c r="AM67" i="1"/>
  <c r="AN25" i="1"/>
  <c r="AN67" i="1"/>
  <c r="AO25" i="1"/>
  <c r="AO67" i="1"/>
  <c r="F62" i="1"/>
  <c r="F27" i="1"/>
  <c r="F71" i="1"/>
  <c r="L62" i="1"/>
  <c r="L27" i="1"/>
  <c r="L71" i="1"/>
  <c r="Q62" i="1"/>
  <c r="Q27" i="1"/>
  <c r="Q71" i="1"/>
  <c r="AH62" i="1"/>
  <c r="AH27" i="1"/>
  <c r="AH71" i="1"/>
  <c r="AI62" i="1"/>
  <c r="AI27" i="1"/>
  <c r="AI71" i="1"/>
  <c r="AJ62" i="1"/>
  <c r="AJ27" i="1"/>
  <c r="AJ71" i="1"/>
  <c r="AK62" i="1"/>
  <c r="AK27" i="1"/>
  <c r="AK71" i="1"/>
  <c r="AL62" i="1"/>
  <c r="AL27" i="1"/>
  <c r="AL71" i="1"/>
  <c r="AM62" i="1"/>
  <c r="AM27" i="1"/>
  <c r="AM71" i="1"/>
  <c r="AN62" i="1"/>
  <c r="AN27" i="1"/>
  <c r="AN71" i="1"/>
  <c r="AO62" i="1"/>
  <c r="AO27" i="1"/>
  <c r="AO71" i="1"/>
  <c r="F16" i="1"/>
  <c r="L16" i="1"/>
  <c r="Q16" i="1"/>
  <c r="AH16" i="1"/>
  <c r="AI16" i="1"/>
  <c r="AJ16" i="1"/>
  <c r="AK16" i="1"/>
  <c r="AL16" i="1"/>
  <c r="AM16" i="1"/>
  <c r="AN16" i="1"/>
  <c r="AO16" i="1"/>
  <c r="F116" i="1" l="1"/>
  <c r="F113" i="1"/>
  <c r="F68" i="1"/>
  <c r="G6" i="1" l="1"/>
  <c r="G43" i="1"/>
  <c r="G18" i="1"/>
  <c r="G77" i="1"/>
  <c r="G76" i="1"/>
  <c r="G108" i="1"/>
  <c r="G93" i="1"/>
  <c r="G20" i="1"/>
  <c r="G50" i="1"/>
  <c r="G15" i="1"/>
  <c r="G4" i="1"/>
  <c r="G35" i="1"/>
  <c r="G8" i="1"/>
  <c r="G59" i="1"/>
  <c r="G68" i="1"/>
  <c r="G24" i="1"/>
  <c r="G54" i="1"/>
  <c r="G101" i="1"/>
  <c r="G92" i="1"/>
  <c r="G116" i="1"/>
  <c r="G113" i="1"/>
  <c r="G9" i="1"/>
  <c r="AH6" i="1"/>
  <c r="AI6" i="1"/>
  <c r="AJ6" i="1"/>
  <c r="AK6" i="1"/>
  <c r="AL6" i="1"/>
  <c r="AM6" i="1"/>
  <c r="AN6" i="1"/>
  <c r="AO6" i="1"/>
  <c r="AH43" i="1"/>
  <c r="AI43" i="1"/>
  <c r="AJ43" i="1"/>
  <c r="AK43" i="1"/>
  <c r="AL43" i="1"/>
  <c r="AM43" i="1"/>
  <c r="AN43" i="1"/>
  <c r="AO43" i="1"/>
  <c r="AH18" i="1"/>
  <c r="AI18" i="1"/>
  <c r="AJ18" i="1"/>
  <c r="AK18" i="1"/>
  <c r="AL18" i="1"/>
  <c r="AM18" i="1"/>
  <c r="AN18" i="1"/>
  <c r="AO18" i="1"/>
  <c r="AH77" i="1"/>
  <c r="AI77" i="1"/>
  <c r="AJ77" i="1"/>
  <c r="AK77" i="1"/>
  <c r="AL77" i="1"/>
  <c r="AM77" i="1"/>
  <c r="AN77" i="1"/>
  <c r="AO77" i="1"/>
  <c r="AH76" i="1"/>
  <c r="AI76" i="1"/>
  <c r="AJ76" i="1"/>
  <c r="AK76" i="1"/>
  <c r="AL76" i="1"/>
  <c r="AM76" i="1"/>
  <c r="AN76" i="1"/>
  <c r="AO76" i="1"/>
  <c r="AH108" i="1"/>
  <c r="AI108" i="1"/>
  <c r="AJ108" i="1"/>
  <c r="AK108" i="1"/>
  <c r="AL108" i="1"/>
  <c r="AM108" i="1"/>
  <c r="AN108" i="1"/>
  <c r="AO108" i="1"/>
  <c r="AH93" i="1"/>
  <c r="AI93" i="1"/>
  <c r="AJ93" i="1"/>
  <c r="AK93" i="1"/>
  <c r="AL93" i="1"/>
  <c r="AM93" i="1"/>
  <c r="AN93" i="1"/>
  <c r="AO93" i="1"/>
  <c r="AH20" i="1"/>
  <c r="AI20" i="1"/>
  <c r="AJ20" i="1"/>
  <c r="AK20" i="1"/>
  <c r="AL20" i="1"/>
  <c r="AM20" i="1"/>
  <c r="AN20" i="1"/>
  <c r="AO20" i="1"/>
  <c r="AH50" i="1"/>
  <c r="AI50" i="1"/>
  <c r="AJ50" i="1"/>
  <c r="AK50" i="1"/>
  <c r="AL50" i="1"/>
  <c r="AM50" i="1"/>
  <c r="AN50" i="1"/>
  <c r="AO50" i="1"/>
  <c r="AH15" i="1"/>
  <c r="AI15" i="1"/>
  <c r="AJ15" i="1"/>
  <c r="AK15" i="1"/>
  <c r="AL15" i="1"/>
  <c r="AM15" i="1"/>
  <c r="AN15" i="1"/>
  <c r="AO15" i="1"/>
  <c r="AH4" i="1"/>
  <c r="AI4" i="1"/>
  <c r="AJ4" i="1"/>
  <c r="AK4" i="1"/>
  <c r="AL4" i="1"/>
  <c r="AM4" i="1"/>
  <c r="AN4" i="1"/>
  <c r="AO4" i="1"/>
  <c r="AH35" i="1"/>
  <c r="AI35" i="1"/>
  <c r="AJ35" i="1"/>
  <c r="AK35" i="1"/>
  <c r="AL35" i="1"/>
  <c r="AM35" i="1"/>
  <c r="AN35" i="1"/>
  <c r="AO35" i="1"/>
  <c r="AH8" i="1"/>
  <c r="AI8" i="1"/>
  <c r="AJ8" i="1"/>
  <c r="AK8" i="1"/>
  <c r="AL8" i="1"/>
  <c r="AM8" i="1"/>
  <c r="AN8" i="1"/>
  <c r="AO8" i="1"/>
  <c r="AH59" i="1"/>
  <c r="AI59" i="1"/>
  <c r="AJ59" i="1"/>
  <c r="AK59" i="1"/>
  <c r="AL59" i="1"/>
  <c r="AM59" i="1"/>
  <c r="AN59" i="1"/>
  <c r="AO59" i="1"/>
  <c r="AH68" i="1"/>
  <c r="AI68" i="1"/>
  <c r="AJ68" i="1"/>
  <c r="AK68" i="1"/>
  <c r="AL68" i="1"/>
  <c r="AM68" i="1"/>
  <c r="AN68" i="1"/>
  <c r="AO68" i="1"/>
  <c r="AH24" i="1"/>
  <c r="AI24" i="1"/>
  <c r="AJ24" i="1"/>
  <c r="AK24" i="1"/>
  <c r="AL24" i="1"/>
  <c r="AM24" i="1"/>
  <c r="AN24" i="1"/>
  <c r="AO24" i="1"/>
  <c r="AH54" i="1"/>
  <c r="AI54" i="1"/>
  <c r="AJ54" i="1"/>
  <c r="AK54" i="1"/>
  <c r="AL54" i="1"/>
  <c r="AM54" i="1"/>
  <c r="AN54" i="1"/>
  <c r="AO54" i="1"/>
  <c r="AH101" i="1"/>
  <c r="AI101" i="1"/>
  <c r="AJ101" i="1"/>
  <c r="AK101" i="1"/>
  <c r="AL101" i="1"/>
  <c r="AM101" i="1"/>
  <c r="AN101" i="1"/>
  <c r="AO101" i="1"/>
  <c r="AH92" i="1"/>
  <c r="AI92" i="1"/>
  <c r="AJ92" i="1"/>
  <c r="AK92" i="1"/>
  <c r="AL92" i="1"/>
  <c r="AM92" i="1"/>
  <c r="AN92" i="1"/>
  <c r="AO92" i="1"/>
  <c r="AH116" i="1"/>
  <c r="AI116" i="1"/>
  <c r="AJ116" i="1"/>
  <c r="AK116" i="1"/>
  <c r="AL116" i="1"/>
  <c r="AM116" i="1"/>
  <c r="AN116" i="1"/>
  <c r="AO116" i="1"/>
  <c r="AH113" i="1"/>
  <c r="AI113" i="1"/>
  <c r="AJ113" i="1"/>
  <c r="AK113" i="1"/>
  <c r="AL113" i="1"/>
  <c r="AM113" i="1"/>
  <c r="AN113" i="1"/>
  <c r="AO113" i="1"/>
  <c r="F92" i="1" l="1"/>
  <c r="L92" i="1"/>
  <c r="Q92" i="1"/>
  <c r="F101" i="1"/>
  <c r="L101" i="1"/>
  <c r="Q101" i="1"/>
  <c r="F54" i="1"/>
  <c r="L54" i="1"/>
  <c r="Q54" i="1"/>
  <c r="F24" i="1"/>
  <c r="L24" i="1"/>
  <c r="Q24" i="1"/>
  <c r="L68" i="1" l="1"/>
  <c r="Q68" i="1"/>
  <c r="F59" i="1"/>
  <c r="L59" i="1"/>
  <c r="Q59" i="1"/>
  <c r="F8" i="1"/>
  <c r="L8" i="1"/>
  <c r="Q8" i="1"/>
  <c r="F35" i="1"/>
  <c r="L35" i="1"/>
  <c r="Q35" i="1"/>
  <c r="F4" i="1"/>
  <c r="L4" i="1"/>
  <c r="Q4" i="1"/>
  <c r="F9" i="1"/>
  <c r="F6" i="1"/>
  <c r="F43" i="1"/>
  <c r="F18" i="1"/>
  <c r="F77" i="1"/>
  <c r="F76" i="1"/>
  <c r="F108" i="1"/>
  <c r="F93" i="1"/>
  <c r="F20" i="1"/>
  <c r="F50" i="1"/>
  <c r="F15" i="1"/>
  <c r="L15" i="1"/>
  <c r="Q15" i="1"/>
  <c r="L50" i="1" l="1"/>
  <c r="Q50" i="1"/>
  <c r="L20" i="1"/>
  <c r="Q20" i="1"/>
  <c r="Q9" i="1" l="1"/>
  <c r="Q6" i="1"/>
  <c r="Q43" i="1"/>
  <c r="Q18" i="1"/>
  <c r="Q77" i="1"/>
  <c r="Q76" i="1"/>
  <c r="Q108" i="1"/>
  <c r="Q93" i="1"/>
  <c r="L93" i="1" l="1"/>
  <c r="L108" i="1"/>
  <c r="L76" i="1"/>
  <c r="L77" i="1"/>
  <c r="L18" i="1"/>
  <c r="L43" i="1"/>
  <c r="AH9" i="1"/>
  <c r="AI9" i="1"/>
  <c r="AJ9" i="1"/>
  <c r="AK9" i="1"/>
  <c r="AL9" i="1"/>
  <c r="AM9" i="1"/>
  <c r="AN9" i="1"/>
  <c r="AO9" i="1"/>
  <c r="L9" i="1"/>
  <c r="L6" i="1"/>
  <c r="N297" i="2"/>
  <c r="O361" i="2" s="1"/>
  <c r="O341" i="2" l="1"/>
  <c r="AC29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AlexP</author>
    <author>Alexp</author>
    <author>Katie Schofield</author>
  </authors>
  <commentList>
    <comment ref="E155" authorId="0" shapeId="0" xr:uid="{67B922C9-28E5-4F60-8329-362FDF5B0CB6}">
      <text>
        <r>
          <rPr>
            <b/>
            <sz val="9"/>
            <color indexed="81"/>
            <rFont val="Tahoma"/>
            <family val="2"/>
          </rPr>
          <t>AlexP:</t>
        </r>
        <r>
          <rPr>
            <sz val="9"/>
            <color indexed="81"/>
            <rFont val="Tahoma"/>
            <family val="2"/>
          </rPr>
          <t xml:space="preserve">
Got off plane</t>
        </r>
      </text>
    </comment>
    <comment ref="E205" authorId="1" shapeId="0" xr:uid="{CF9150EC-4DCB-4421-BA06-DF344E93EE75}">
      <text>
        <r>
          <rPr>
            <b/>
            <sz val="9"/>
            <color indexed="81"/>
            <rFont val="Tahoma"/>
            <family val="2"/>
          </rPr>
          <t>Alexp:</t>
        </r>
        <r>
          <rPr>
            <sz val="9"/>
            <color indexed="81"/>
            <rFont val="Tahoma"/>
            <family val="2"/>
          </rPr>
          <t xml:space="preserve">
64.5 kg</t>
        </r>
      </text>
    </comment>
    <comment ref="E240" authorId="0" shapeId="0" xr:uid="{4EFE0E29-FDF4-43FF-B424-3DEB19E88C8F}">
      <text>
        <r>
          <rPr>
            <b/>
            <sz val="9"/>
            <color indexed="81"/>
            <rFont val="Tahoma"/>
            <family val="2"/>
          </rPr>
          <t>AlexP:</t>
        </r>
        <r>
          <rPr>
            <sz val="9"/>
            <color indexed="81"/>
            <rFont val="Tahoma"/>
            <family val="2"/>
          </rPr>
          <t xml:space="preserve">
Food poisoning over weekend?
90kg typical</t>
        </r>
      </text>
    </comment>
    <comment ref="Q261" authorId="0" shapeId="0" xr:uid="{769B8A7D-B9E3-4356-B5CA-8769046BD2E6}">
      <text>
        <r>
          <rPr>
            <b/>
            <sz val="9"/>
            <color indexed="81"/>
            <rFont val="Tahoma"/>
            <family val="2"/>
          </rPr>
          <t>AlexP:</t>
        </r>
        <r>
          <rPr>
            <sz val="9"/>
            <color indexed="81"/>
            <rFont val="Tahoma"/>
            <family val="2"/>
          </rPr>
          <t xml:space="preserve">
Left - 37.5
</t>
        </r>
      </text>
    </comment>
    <comment ref="N332" authorId="0" shapeId="0" xr:uid="{2D962096-686E-4570-9F91-695BBDD8E200}">
      <text>
        <r>
          <rPr>
            <b/>
            <sz val="9"/>
            <color indexed="81"/>
            <rFont val="Tahoma"/>
            <family val="2"/>
          </rPr>
          <t>AlexP:</t>
        </r>
        <r>
          <rPr>
            <sz val="9"/>
            <color indexed="81"/>
            <rFont val="Tahoma"/>
            <family val="2"/>
          </rPr>
          <t xml:space="preserve">
67.4</t>
        </r>
      </text>
    </comment>
    <comment ref="P332" authorId="0" shapeId="0" xr:uid="{A1A1C8F6-DC6C-4011-95D9-C634C6DC1ED0}">
      <text>
        <r>
          <rPr>
            <b/>
            <sz val="9"/>
            <color indexed="81"/>
            <rFont val="Tahoma"/>
            <family val="2"/>
          </rPr>
          <t>AlexP:</t>
        </r>
        <r>
          <rPr>
            <sz val="9"/>
            <color indexed="81"/>
            <rFont val="Tahoma"/>
            <family val="2"/>
          </rPr>
          <t xml:space="preserve">
55.5</t>
        </r>
      </text>
    </comment>
    <comment ref="Q341" authorId="0" shapeId="0" xr:uid="{76456CB5-976D-47CE-80EB-2A5246F546E6}">
      <text>
        <r>
          <rPr>
            <b/>
            <sz val="9"/>
            <color indexed="81"/>
            <rFont val="Tahoma"/>
            <family val="2"/>
          </rPr>
          <t>AlexP:</t>
        </r>
        <r>
          <rPr>
            <sz val="9"/>
            <color indexed="81"/>
            <rFont val="Tahoma"/>
            <family val="2"/>
          </rPr>
          <t xml:space="preserve">
Left 37.5</t>
        </r>
      </text>
    </comment>
    <comment ref="X354" authorId="2" shapeId="0" xr:uid="{9817FB25-9301-4C45-804F-CB5E611AB9B2}">
      <text>
        <r>
          <rPr>
            <sz val="11"/>
            <color theme="1"/>
            <rFont val="Calibri"/>
            <family val="2"/>
            <scheme val="minor"/>
          </rPr>
          <t>Katie Schofield:
"power walked" to skinfolds today. These values much higher after 4x measures. Possible confounder with walking briskly to assessment. VMO increased too. Body weight down</t>
        </r>
      </text>
    </comment>
    <comment ref="Y354" authorId="2" shapeId="0" xr:uid="{710198D9-64C5-4BB5-8EDE-C4476997CF3D}">
      <text>
        <r>
          <rPr>
            <sz val="11"/>
            <color theme="1"/>
            <rFont val="Calibri"/>
            <family val="2"/>
            <scheme val="minor"/>
          </rPr>
          <t>Katie Schofield:
"power walked" to skinfolds today. These values much higher after 4x measures. Possible confounder with walking briskly to assessment. VMO increased too. Body weight down</t>
        </r>
      </text>
    </comment>
    <comment ref="C356" authorId="2" shapeId="0" xr:uid="{301854FB-CD36-4E41-8B49-C6E9C8060A6E}">
      <text>
        <r>
          <rPr>
            <sz val="11"/>
            <color theme="1"/>
            <rFont val="Calibri"/>
            <family val="2"/>
            <scheme val="minor"/>
          </rPr>
          <t>Katie Schofield:
Start of Cambridge 3Day</t>
        </r>
      </text>
    </comment>
    <comment ref="E356" authorId="2" shapeId="0" xr:uid="{68CF141C-E2B8-437F-8C89-6E04986B9217}">
      <text>
        <r>
          <rPr>
            <sz val="11"/>
            <color theme="1"/>
            <rFont val="Calibri"/>
            <family val="2"/>
            <scheme val="minor"/>
          </rPr>
          <t>Katie Schofield:
After Pre-race meal</t>
        </r>
      </text>
    </comment>
    <comment ref="E369" authorId="2" shapeId="0" xr:uid="{FB629BD1-DA35-49DE-923E-B71214EFB27D}">
      <text>
        <r>
          <rPr>
            <sz val="11"/>
            <color theme="1"/>
            <rFont val="Calibri"/>
            <family val="2"/>
            <scheme val="minor"/>
          </rPr>
          <t>Katie Schofield:
This is after 4days of low fibre (measurement on morning of 4th day)</t>
        </r>
      </text>
    </comment>
    <comment ref="E373" authorId="2" shapeId="0" xr:uid="{B220562E-C611-4A5D-B33A-67492473249F}">
      <text>
        <r>
          <rPr>
            <sz val="11"/>
            <color theme="1"/>
            <rFont val="Calibri"/>
            <family val="2"/>
            <scheme val="minor"/>
          </rPr>
          <t>Katie Schofield:
1 day following low fibre. Started as soon as landed in Jakarta for NC1</t>
        </r>
      </text>
    </comment>
    <comment ref="A376" authorId="2" shapeId="0" xr:uid="{70CD5783-E6B2-4AB4-80E7-D0E36FB83044}">
      <text>
        <r>
          <rPr>
            <sz val="11"/>
            <color theme="1"/>
            <rFont val="Calibri"/>
            <family val="2"/>
            <scheme val="minor"/>
          </rPr>
          <t>Katie Schofield:
Julia Bone measured in KS absence</t>
        </r>
      </text>
    </comment>
    <comment ref="D377" authorId="2" shapeId="0" xr:uid="{5238F6F2-EBB1-48E5-8DFE-E40CF09BF09C}">
      <text>
        <r>
          <rPr>
            <sz val="11"/>
            <color theme="1"/>
            <rFont val="Calibri"/>
            <family val="2"/>
            <scheme val="minor"/>
          </rPr>
          <t>Katie Schofield:
Using BIA</t>
        </r>
      </text>
    </comment>
    <comment ref="AE406" authorId="2" shapeId="0" xr:uid="{43918B3A-3691-444F-8662-F1414C0C11A9}">
      <text>
        <r>
          <rPr>
            <sz val="11"/>
            <color theme="1"/>
            <rFont val="Calibri"/>
            <family val="2"/>
            <scheme val="minor"/>
          </rPr>
          <t>Katie Schofield:
Not convinced the BIA machine was reading correctly - changes of +4.4 in FM and -2.3kg in FFM...doesn't add up with the consistency in Sum8</t>
        </r>
      </text>
    </comment>
    <comment ref="M413" authorId="0" shapeId="0" xr:uid="{A9960402-0617-4A08-96F0-658BE85FD9DA}">
      <text>
        <r>
          <rPr>
            <b/>
            <sz val="9"/>
            <color indexed="81"/>
            <rFont val="Tahoma"/>
            <family val="2"/>
          </rPr>
          <t>AlexP:</t>
        </r>
        <r>
          <rPr>
            <sz val="9"/>
            <color indexed="81"/>
            <rFont val="Tahoma"/>
            <family val="2"/>
          </rPr>
          <t xml:space="preserve">
Thick shorts </t>
        </r>
      </text>
    </comment>
  </commentList>
</comments>
</file>

<file path=xl/sharedStrings.xml><?xml version="1.0" encoding="utf-8"?>
<sst xmlns="http://schemas.openxmlformats.org/spreadsheetml/2006/main" count="1399" uniqueCount="199">
  <si>
    <t>Rider</t>
  </si>
  <si>
    <t>Date</t>
  </si>
  <si>
    <t>Time</t>
  </si>
  <si>
    <t>Height (cm)</t>
  </si>
  <si>
    <t>Kg</t>
  </si>
  <si>
    <t xml:space="preserve">BMI </t>
  </si>
  <si>
    <t>FFM (kg)</t>
  </si>
  <si>
    <t>FM (kg)</t>
  </si>
  <si>
    <t>Shoulder WP</t>
  </si>
  <si>
    <t>Chest</t>
  </si>
  <si>
    <t>Upper arm girth - R</t>
  </si>
  <si>
    <t>Waist</t>
  </si>
  <si>
    <t>Gluteals</t>
  </si>
  <si>
    <t>Mid-thighs</t>
  </si>
  <si>
    <t>TMA  (cm2)</t>
  </si>
  <si>
    <t>VMO</t>
  </si>
  <si>
    <t>Mid-calf</t>
  </si>
  <si>
    <t>Triceps</t>
  </si>
  <si>
    <t>Subscapular</t>
  </si>
  <si>
    <t>Biceps</t>
  </si>
  <si>
    <t>Illiac</t>
  </si>
  <si>
    <t>Supraspinale</t>
  </si>
  <si>
    <t>Abdominal</t>
  </si>
  <si>
    <t>Thigh</t>
  </si>
  <si>
    <t>Calf</t>
  </si>
  <si>
    <t>Sum8</t>
  </si>
  <si>
    <t>Body Fat (%) Yuhasz</t>
  </si>
  <si>
    <t xml:space="preserve">Corrected arm girth </t>
  </si>
  <si>
    <t>Corrected thigh girth</t>
  </si>
  <si>
    <t>Corrected calf girth</t>
  </si>
  <si>
    <t>BIA FM (kg)</t>
  </si>
  <si>
    <t>BIA SMM (kg)</t>
  </si>
  <si>
    <t>DEXA %LEAN</t>
  </si>
  <si>
    <t>DEXA %BF</t>
  </si>
  <si>
    <t>DEXA LBM (kg)</t>
  </si>
  <si>
    <t>DEXA FM (kg)</t>
  </si>
  <si>
    <t xml:space="preserve"> DEXA LLM (kg)</t>
  </si>
  <si>
    <t>DEXA Pelvis (kg)</t>
  </si>
  <si>
    <t>DEXA Total Lower limb (kg)</t>
  </si>
  <si>
    <t>Ethan Mitchell</t>
  </si>
  <si>
    <t>Sam Webster</t>
  </si>
  <si>
    <t>Jordan Castle</t>
  </si>
  <si>
    <t>Natasha Hansen</t>
  </si>
  <si>
    <t>Ellesse Andrews</t>
  </si>
  <si>
    <t>Emma Cumming</t>
  </si>
  <si>
    <t>Bradly Knipe</t>
  </si>
  <si>
    <t>?</t>
  </si>
  <si>
    <t>Olivia Podmore</t>
  </si>
  <si>
    <t>Callum Saunders</t>
  </si>
  <si>
    <t>Tahlay Christie</t>
  </si>
  <si>
    <t>Rebecca Petch</t>
  </si>
  <si>
    <t>Olivia King</t>
  </si>
  <si>
    <t>Patrick Clancy</t>
  </si>
  <si>
    <t>Cam French</t>
  </si>
  <si>
    <t>16/05/2024</t>
  </si>
  <si>
    <t>Sam Dakin</t>
  </si>
  <si>
    <t>15/05/2024</t>
  </si>
  <si>
    <t>28/06/2024</t>
  </si>
  <si>
    <t>31/05/2024</t>
  </si>
  <si>
    <t>Shaane Fulton</t>
  </si>
  <si>
    <t>21/05/2024</t>
  </si>
  <si>
    <t>27/06/2024</t>
  </si>
  <si>
    <t>Name</t>
  </si>
  <si>
    <t>Weight (kg; scale)</t>
  </si>
  <si>
    <t>Weight (kg, machine)</t>
  </si>
  <si>
    <t>Metabolic Rate (kcal/day)</t>
  </si>
  <si>
    <t>Fat Mass (Total; kg)</t>
  </si>
  <si>
    <t>Lean Mass (Total; kg)</t>
  </si>
  <si>
    <t>Lean Mass /h2 (kg/m2)</t>
  </si>
  <si>
    <t>Left Thigh Lean mass (kg)</t>
  </si>
  <si>
    <t>Right Thigh Lean mass (kg)</t>
  </si>
  <si>
    <t>Leg muscle (kg)</t>
  </si>
  <si>
    <t>Pelvis (kg)</t>
  </si>
  <si>
    <t>Total Lower limb (kg)</t>
  </si>
  <si>
    <t>Lean Mass Absolute Change (kg)</t>
  </si>
  <si>
    <t>Total Lower Limb Absolute Change (kg)</t>
  </si>
  <si>
    <t>29/11/2022</t>
  </si>
  <si>
    <t>16/03/2023</t>
  </si>
  <si>
    <t>25/05/2023</t>
  </si>
  <si>
    <t>14/05/2024</t>
  </si>
  <si>
    <t>18/05/2023</t>
  </si>
  <si>
    <t>14/09/2023</t>
  </si>
  <si>
    <t>15/11/2022</t>
  </si>
  <si>
    <t>17/05/2023</t>
  </si>
  <si>
    <t>CdA</t>
  </si>
  <si>
    <t>Duration</t>
  </si>
  <si>
    <t>Power</t>
  </si>
  <si>
    <t>Cadence</t>
  </si>
  <si>
    <t>Gear</t>
  </si>
  <si>
    <t>Air Density</t>
  </si>
  <si>
    <t>Standardised Duration</t>
  </si>
  <si>
    <t>TEM</t>
  </si>
  <si>
    <t>CV</t>
  </si>
  <si>
    <t>Bike</t>
  </si>
  <si>
    <t>Skinsuit</t>
  </si>
  <si>
    <t>Protocol</t>
  </si>
  <si>
    <t>Average Speed</t>
  </si>
  <si>
    <t>Avanti</t>
  </si>
  <si>
    <t>Champion Systems</t>
  </si>
  <si>
    <t>F250</t>
  </si>
  <si>
    <t>Le Col</t>
  </si>
  <si>
    <t>MPSH375</t>
  </si>
  <si>
    <t>Rainbows</t>
  </si>
  <si>
    <t>Koga</t>
  </si>
  <si>
    <t>Effort</t>
  </si>
  <si>
    <t>S250m</t>
  </si>
  <si>
    <t>F200m</t>
  </si>
  <si>
    <t>F500m</t>
  </si>
  <si>
    <t>Rider Weight</t>
  </si>
  <si>
    <t>IL Peak Power (W)</t>
  </si>
  <si>
    <t>IL Peak Power (W.kg)</t>
  </si>
  <si>
    <t xml:space="preserve"> IL Optimal Cadence (RPM)</t>
  </si>
  <si>
    <t>IL Max Torque (N.m)</t>
  </si>
  <si>
    <t>IL Max Cadence (RPM)</t>
  </si>
  <si>
    <t>S500 Time</t>
  </si>
  <si>
    <t>S500Peak Power</t>
  </si>
  <si>
    <t>S500Peak Power W.kg</t>
  </si>
  <si>
    <t>S500m Peak Power Distance</t>
  </si>
  <si>
    <t>10s MMP</t>
  </si>
  <si>
    <t>20s MMP</t>
  </si>
  <si>
    <t>30s MMP</t>
  </si>
  <si>
    <t>Fatigue Index</t>
  </si>
  <si>
    <t>RPM1</t>
  </si>
  <si>
    <t>RPM2</t>
  </si>
  <si>
    <t>RPM3</t>
  </si>
  <si>
    <t>RPM4</t>
  </si>
  <si>
    <t>RPM5</t>
  </si>
  <si>
    <t>RPM6</t>
  </si>
  <si>
    <t>RPM7</t>
  </si>
  <si>
    <t>RPM8</t>
  </si>
  <si>
    <t>Power1</t>
  </si>
  <si>
    <t>Power2</t>
  </si>
  <si>
    <t>Power3</t>
  </si>
  <si>
    <t>Power4</t>
  </si>
  <si>
    <t>Power5</t>
  </si>
  <si>
    <t>Power6</t>
  </si>
  <si>
    <t>Power7</t>
  </si>
  <si>
    <t>Power8</t>
  </si>
  <si>
    <t>Torque1</t>
  </si>
  <si>
    <t>Torque2</t>
  </si>
  <si>
    <t>Torque3</t>
  </si>
  <si>
    <t>Torque4</t>
  </si>
  <si>
    <t>Torque5</t>
  </si>
  <si>
    <t>Torque6</t>
  </si>
  <si>
    <t>Torque7</t>
  </si>
  <si>
    <t>Torque8</t>
  </si>
  <si>
    <t>Temperature</t>
  </si>
  <si>
    <t>Pressure</t>
  </si>
  <si>
    <t>Humidity2</t>
  </si>
  <si>
    <t>Standardised Time (1.169)</t>
  </si>
  <si>
    <t>PP1</t>
  </si>
  <si>
    <t>MP1</t>
  </si>
  <si>
    <t>FP1</t>
  </si>
  <si>
    <t>FI1</t>
  </si>
  <si>
    <t>PP2</t>
  </si>
  <si>
    <t>MP2</t>
  </si>
  <si>
    <t>FP2</t>
  </si>
  <si>
    <t>FI2</t>
  </si>
  <si>
    <t>PP3</t>
  </si>
  <si>
    <t>MP3</t>
  </si>
  <si>
    <t>FP3</t>
  </si>
  <si>
    <t>FI3</t>
  </si>
  <si>
    <t>PPLoss</t>
  </si>
  <si>
    <t>MPLoss</t>
  </si>
  <si>
    <t>Seat height</t>
  </si>
  <si>
    <t>Eddie Dawkins</t>
  </si>
  <si>
    <t>Zac Williams</t>
  </si>
  <si>
    <t>Tess Young</t>
  </si>
  <si>
    <t>Athlete</t>
  </si>
  <si>
    <t>VL Thickness</t>
  </si>
  <si>
    <t>VL PA</t>
  </si>
  <si>
    <t>VL FL</t>
  </si>
  <si>
    <t>iMTP PF</t>
  </si>
  <si>
    <t>iMPTP PF.KG</t>
  </si>
  <si>
    <t>40% JS MP</t>
  </si>
  <si>
    <t>40% JS MP.KG</t>
  </si>
  <si>
    <t>Leg Press Right</t>
  </si>
  <si>
    <t>Leg Press Left</t>
  </si>
  <si>
    <t>DOB</t>
  </si>
  <si>
    <t>Today</t>
  </si>
  <si>
    <t>Age</t>
  </si>
  <si>
    <t>Weight</t>
  </si>
  <si>
    <t>Height</t>
  </si>
  <si>
    <t>Standing Lap</t>
  </si>
  <si>
    <t xml:space="preserve">F500 </t>
  </si>
  <si>
    <t>Max Watts</t>
  </si>
  <si>
    <t>Max Watts/Kg</t>
  </si>
  <si>
    <t>Max 30s Watts</t>
  </si>
  <si>
    <t>30s Watts/CdA</t>
  </si>
  <si>
    <t>Max N.m</t>
  </si>
  <si>
    <t>Max N.m/kg</t>
  </si>
  <si>
    <t>Box Squat (40cm)</t>
  </si>
  <si>
    <t>Squat 1RM/kg</t>
  </si>
  <si>
    <t>Matt Archibald</t>
  </si>
  <si>
    <t xml:space="preserve">Zac Williams </t>
  </si>
  <si>
    <t>Simon van Velthooven</t>
  </si>
  <si>
    <t>Max W.kg</t>
  </si>
  <si>
    <t>30s W.CdA</t>
  </si>
  <si>
    <t>40s W. CDA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</si>
</sst>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d/mm/yyyy;@"/>
    <numFmt numFmtId="167" formatCode="0.0000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000000"/>
      </patternFill>
    </fill>
    <fill>
      <patternFill patternType="solid">
        <fgColor rgb="FFB4C6E7"/>
        <bgColor rgb="FF000000"/>
      </patternFill>
    </fill>
  </fills>
  <borders count="1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164" fontId="0" fillId="3" borderId="0" xfId="0" applyNumberFormat="1" applyFill="1"/>
    <xf numFmtId="1" fontId="0" fillId="3" borderId="0" xfId="0" applyNumberFormat="1" applyFill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2" fontId="1" fillId="2" borderId="0" xfId="0" applyNumberFormat="1" applyFont="1" applyFill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vertical="center"/>
    </xf>
    <xf numFmtId="20" fontId="0" fillId="0" borderId="0" xfId="0" applyNumberFormat="1"/>
    <xf numFmtId="0" fontId="0" fillId="0" borderId="0" xfId="0" applyAlignment="1">
      <alignment horizontal="center"/>
    </xf>
    <xf numFmtId="164" fontId="2" fillId="0" borderId="0" xfId="0" applyNumberFormat="1" applyFont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4" fontId="0" fillId="0" borderId="0" xfId="0" applyNumberFormat="1" applyAlignment="1">
      <alignment horizontal="center"/>
    </xf>
    <xf numFmtId="166" fontId="0" fillId="0" borderId="0" xfId="0" applyNumberFormat="1"/>
    <xf numFmtId="164" fontId="0" fillId="0" borderId="0" xfId="0" applyNumberFormat="1" applyAlignment="1">
      <alignment horizontal="right"/>
    </xf>
    <xf numFmtId="167" fontId="0" fillId="0" borderId="0" xfId="0" applyNumberFormat="1"/>
    <xf numFmtId="0" fontId="0" fillId="4" borderId="0" xfId="0" applyFill="1"/>
    <xf numFmtId="0" fontId="0" fillId="5" borderId="0" xfId="0" applyFill="1"/>
    <xf numFmtId="14" fontId="0" fillId="5" borderId="0" xfId="0" applyNumberFormat="1" applyFill="1" applyAlignment="1">
      <alignment horizontal="right"/>
    </xf>
    <xf numFmtId="20" fontId="0" fillId="5" borderId="0" xfId="0" applyNumberFormat="1" applyFill="1"/>
    <xf numFmtId="164" fontId="0" fillId="5" borderId="0" xfId="0" applyNumberFormat="1" applyFill="1"/>
    <xf numFmtId="0" fontId="6" fillId="6" borderId="0" xfId="0" applyFont="1" applyFill="1"/>
    <xf numFmtId="0" fontId="0" fillId="0" borderId="7" xfId="0" applyBorder="1"/>
    <xf numFmtId="14" fontId="6" fillId="6" borderId="0" xfId="0" applyNumberFormat="1" applyFont="1" applyFill="1"/>
    <xf numFmtId="14" fontId="0" fillId="0" borderId="5" xfId="0" applyNumberFormat="1" applyBorder="1" applyAlignment="1">
      <alignment horizontal="right"/>
    </xf>
    <xf numFmtId="20" fontId="6" fillId="0" borderId="0" xfId="0" applyNumberFormat="1" applyFont="1"/>
    <xf numFmtId="20" fontId="0" fillId="0" borderId="6" xfId="0" applyNumberFormat="1" applyBorder="1"/>
    <xf numFmtId="164" fontId="6" fillId="0" borderId="0" xfId="0" applyNumberFormat="1" applyFont="1"/>
    <xf numFmtId="0" fontId="6" fillId="0" borderId="0" xfId="0" applyFont="1"/>
    <xf numFmtId="0" fontId="0" fillId="0" borderId="6" xfId="0" applyBorder="1"/>
    <xf numFmtId="0" fontId="0" fillId="0" borderId="5" xfId="0" applyBorder="1"/>
    <xf numFmtId="0" fontId="6" fillId="0" borderId="5" xfId="0" applyFont="1" applyBorder="1"/>
    <xf numFmtId="0" fontId="7" fillId="8" borderId="0" xfId="0" applyFont="1" applyFill="1"/>
    <xf numFmtId="0" fontId="7" fillId="0" borderId="0" xfId="0" applyFont="1"/>
    <xf numFmtId="0" fontId="7" fillId="0" borderId="11" xfId="0" applyFont="1" applyBorder="1"/>
    <xf numFmtId="0" fontId="6" fillId="0" borderId="11" xfId="0" applyFont="1" applyBorder="1"/>
    <xf numFmtId="0" fontId="7" fillId="8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14" fontId="6" fillId="0" borderId="0" xfId="0" applyNumberFormat="1" applyFont="1"/>
    <xf numFmtId="14" fontId="0" fillId="0" borderId="1" xfId="0" applyNumberFormat="1" applyBorder="1"/>
    <xf numFmtId="14" fontId="0" fillId="3" borderId="0" xfId="0" applyNumberFormat="1" applyFill="1"/>
    <xf numFmtId="164" fontId="0" fillId="0" borderId="5" xfId="0" applyNumberFormat="1" applyBorder="1"/>
    <xf numFmtId="164" fontId="0" fillId="0" borderId="6" xfId="0" applyNumberFormat="1" applyBorder="1"/>
    <xf numFmtId="0" fontId="6" fillId="6" borderId="5" xfId="0" applyFont="1" applyFill="1" applyBorder="1"/>
    <xf numFmtId="0" fontId="0" fillId="0" borderId="9" xfId="0" applyBorder="1"/>
    <xf numFmtId="0" fontId="0" fillId="0" borderId="10" xfId="0" applyBorder="1"/>
    <xf numFmtId="14" fontId="0" fillId="0" borderId="6" xfId="0" applyNumberFormat="1" applyBorder="1" applyAlignment="1">
      <alignment horizontal="right"/>
    </xf>
    <xf numFmtId="14" fontId="6" fillId="0" borderId="0" xfId="0" applyNumberFormat="1" applyFont="1" applyAlignment="1">
      <alignment horizontal="right"/>
    </xf>
    <xf numFmtId="0" fontId="0" fillId="0" borderId="0" xfId="0" applyAlignment="1">
      <alignment horizontal="left" vertical="top"/>
    </xf>
    <xf numFmtId="20" fontId="0" fillId="0" borderId="5" xfId="0" applyNumberFormat="1" applyBorder="1"/>
    <xf numFmtId="164" fontId="0" fillId="0" borderId="1" xfId="0" applyNumberFormat="1" applyBorder="1"/>
    <xf numFmtId="0" fontId="6" fillId="7" borderId="5" xfId="0" applyFont="1" applyFill="1" applyBorder="1"/>
    <xf numFmtId="0" fontId="0" fillId="0" borderId="1" xfId="0" applyBorder="1"/>
    <xf numFmtId="0" fontId="0" fillId="0" borderId="8" xfId="0" applyBorder="1"/>
  </cellXfs>
  <cellStyles count="1">
    <cellStyle name="Normal" xfId="0" builtinId="0"/>
  </cellStyles>
  <dxfs count="156"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2" formatCode="0.00"/>
    </dxf>
    <dxf>
      <numFmt numFmtId="1" formatCode="0"/>
    </dxf>
    <dxf>
      <numFmt numFmtId="164" formatCode="0.0"/>
    </dxf>
    <dxf>
      <numFmt numFmtId="19" formatCode="d/mm/yyyy"/>
    </dxf>
    <dxf>
      <numFmt numFmtId="19" formatCode="d/mm/yyyy"/>
    </dxf>
    <dxf>
      <numFmt numFmtId="2" formatCode="0.00"/>
    </dxf>
    <dxf>
      <numFmt numFmtId="1" formatCode="0"/>
    </dxf>
    <dxf>
      <numFmt numFmtId="2" formatCode="0.00"/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0.0"/>
    </dxf>
    <dxf>
      <numFmt numFmtId="164" formatCode="0.0"/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2" formatCode="0.00"/>
    </dxf>
    <dxf>
      <numFmt numFmtId="19" formatCode="d/mm/yyyy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165" formatCode="0.0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  <fill>
        <patternFill patternType="none">
          <fgColor indexed="64"/>
          <bgColor indexed="65"/>
        </patternFill>
      </fill>
    </dxf>
    <dxf>
      <numFmt numFmtId="164" formatCode="0.0"/>
    </dxf>
    <dxf>
      <numFmt numFmtId="1" formatCode="0"/>
    </dxf>
    <dxf>
      <numFmt numFmtId="1" formatCode="0"/>
    </dxf>
    <dxf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2" formatCode="0.00"/>
    </dxf>
    <dxf>
      <numFmt numFmtId="167" formatCode="0.0000"/>
    </dxf>
    <dxf>
      <numFmt numFmtId="2" formatCode="0.00"/>
    </dxf>
    <dxf>
      <numFmt numFmtId="165" formatCode="0.000"/>
    </dxf>
    <dxf>
      <numFmt numFmtId="19" formatCode="d/mm/yyyy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  <fill>
        <patternFill patternType="none">
          <fgColor indexed="64"/>
          <bgColor indexed="65"/>
        </patternFill>
      </fill>
    </dxf>
    <dxf>
      <numFmt numFmtId="164" formatCode="0.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0.0"/>
      <fill>
        <patternFill patternType="none">
          <fgColor indexed="64"/>
          <bgColor indexed="65"/>
        </patternFill>
      </fill>
    </dxf>
    <dxf>
      <numFmt numFmtId="164" formatCode="0.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0.0"/>
      <fill>
        <patternFill patternType="none">
          <fgColor indexed="64"/>
          <bgColor indexed="65"/>
        </patternFill>
      </fill>
    </dxf>
    <dxf>
      <numFmt numFmtId="164" formatCode="0.0"/>
      <fill>
        <patternFill patternType="none">
          <fgColor indexed="64"/>
          <bgColor indexed="65"/>
        </patternFill>
      </fill>
    </dxf>
    <dxf>
      <numFmt numFmtId="164" formatCode="0.0"/>
      <fill>
        <patternFill patternType="none">
          <fgColor indexed="64"/>
          <bgColor indexed="65"/>
        </patternFill>
      </fill>
    </dxf>
    <dxf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0.0"/>
      <fill>
        <patternFill patternType="none">
          <fgColor indexed="64"/>
          <bgColor indexed="65"/>
        </patternFill>
      </fill>
    </dxf>
    <dxf>
      <numFmt numFmtId="164" formatCode="0.0"/>
      <fill>
        <patternFill patternType="none">
          <fgColor indexed="64"/>
          <bgColor indexed="65"/>
        </patternFill>
      </fill>
    </dxf>
    <dxf>
      <numFmt numFmtId="25" formatCode="h:mm"/>
      <fill>
        <patternFill patternType="none">
          <fgColor indexed="64"/>
          <bgColor indexed="65"/>
        </patternFill>
      </fill>
    </dxf>
    <dxf>
      <numFmt numFmtId="25" formatCode="h:mm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202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EDC9B1-962A-4380-AB50-2E748CA08E68}" name="Anthropometry" displayName="Anthropometry" ref="A1:AM425" totalsRowShown="0" headerRowDxfId="155" dataDxfId="154" totalsRowDxfId="153">
  <autoFilter ref="A1:AM425" xr:uid="{0BC39E49-83F0-4B90-913B-3E98D5DFAD9A}"/>
  <sortState xmlns:xlrd2="http://schemas.microsoft.com/office/spreadsheetml/2017/richdata2" ref="A2:AM425">
    <sortCondition ref="A1:A425"/>
  </sortState>
  <tableColumns count="39">
    <tableColumn id="1" xr3:uid="{1469A96F-0950-42A4-807A-D506BCB744DD}" name="Rider" dataDxfId="151" totalsRowDxfId="152"/>
    <tableColumn id="2" xr3:uid="{1044BAB5-05C1-4042-AE38-92044FA51DCF}" name="Date" dataDxfId="149" totalsRowDxfId="150"/>
    <tableColumn id="3" xr3:uid="{26A1B788-AC46-4482-B26A-A30B4DB8F0C2}" name="Time" dataDxfId="147" totalsRowDxfId="148"/>
    <tableColumn id="4" xr3:uid="{FB18B41E-B0B9-4731-9BF9-FCA8AAC5D4DF}" name="Height (cm)" dataDxfId="145" totalsRowDxfId="146"/>
    <tableColumn id="5" xr3:uid="{B59A402B-A16C-4EED-B13B-DE3F60F2962B}" name="Kg" dataDxfId="143" totalsRowDxfId="144"/>
    <tableColumn id="6" xr3:uid="{5B509FE6-7BBA-4A5F-AEFD-3B2E36BB4F54}" name="BMI " dataDxfId="141" totalsRowDxfId="142"/>
    <tableColumn id="7" xr3:uid="{A9C58986-DCC3-4E01-B722-70190CED50F8}" name="FFM (kg)" dataDxfId="139" totalsRowDxfId="140"/>
    <tableColumn id="8" xr3:uid="{BAD6B035-E10C-4A55-BFDF-D958AEEC258A}" name="FM (kg)" dataDxfId="137" totalsRowDxfId="138"/>
    <tableColumn id="9" xr3:uid="{720B04E8-CDE9-45AC-864C-EFA78C038CC1}" name="Shoulder WP" dataDxfId="135" totalsRowDxfId="136"/>
    <tableColumn id="10" xr3:uid="{A8A91DAB-59F5-4E9F-A013-7262DCE521AE}" name="Chest" dataDxfId="133" totalsRowDxfId="134"/>
    <tableColumn id="11" xr3:uid="{9966B7E9-45AD-4FA1-BA11-17501A8452FC}" name="Upper arm girth - R" dataDxfId="131" totalsRowDxfId="132"/>
    <tableColumn id="34" xr3:uid="{A1AE4CCA-FDAE-4F93-8337-FAE32D9691EA}" name="Waist"/>
    <tableColumn id="12" xr3:uid="{5DA6B4BD-F71F-4592-BE15-8A8289F10F86}" name="Gluteals" dataDxfId="129" totalsRowDxfId="130"/>
    <tableColumn id="13" xr3:uid="{52A59478-5F39-4437-A6D8-92CC8908C524}" name="Mid-thighs" dataDxfId="127" totalsRowDxfId="128"/>
    <tableColumn id="14" xr3:uid="{B3BAEC89-6BA8-4557-B956-0428E69807B5}" name="TMA  (cm2)" dataDxfId="125" totalsRowDxfId="126"/>
    <tableColumn id="15" xr3:uid="{A084ADD3-F192-4E63-99D1-71BA22E076CB}" name="VMO" dataDxfId="123" totalsRowDxfId="124"/>
    <tableColumn id="16" xr3:uid="{36EF31CC-DDC7-4CCD-8929-9FE754D9858C}" name="Mid-calf" dataDxfId="121" totalsRowDxfId="122"/>
    <tableColumn id="17" xr3:uid="{06D33C6B-6C49-436D-9B67-A8C64EEE5E8E}" name="Triceps" dataDxfId="119" totalsRowDxfId="120"/>
    <tableColumn id="18" xr3:uid="{182F3241-311D-4E11-A220-A2BECC11509B}" name="Subscapular" dataDxfId="117" totalsRowDxfId="118"/>
    <tableColumn id="19" xr3:uid="{33814FDD-E851-406A-B555-9864BA65CFA4}" name="Biceps" dataDxfId="115" totalsRowDxfId="116"/>
    <tableColumn id="20" xr3:uid="{EB3DD31C-116D-4EE4-9CD6-54E6AA590A9B}" name="Illiac" dataDxfId="113" totalsRowDxfId="114"/>
    <tableColumn id="21" xr3:uid="{1FD31928-78D3-4C54-B8FB-63CA63FBF97A}" name="Supraspinale" dataDxfId="111" totalsRowDxfId="112"/>
    <tableColumn id="22" xr3:uid="{66F7671B-246C-454D-8058-914613A991C4}" name="Abdominal" dataDxfId="109" totalsRowDxfId="110"/>
    <tableColumn id="23" xr3:uid="{FC496DDB-A1AC-4B1C-BF47-35C8EB93F5C9}" name="Thigh" dataDxfId="107" totalsRowDxfId="108"/>
    <tableColumn id="24" xr3:uid="{4E46FD6A-2F71-4C51-8929-83B20087C8E6}" name="Calf" dataDxfId="105" totalsRowDxfId="106"/>
    <tableColumn id="25" xr3:uid="{B80EA059-38B3-496B-ACD1-9EAD00CC1AF8}" name="Sum8" dataDxfId="103" totalsRowDxfId="104"/>
    <tableColumn id="26" xr3:uid="{11B5AA06-66A7-4144-90B0-586F18C27DBC}" name="Body Fat (%) Yuhasz" dataDxfId="101" totalsRowDxfId="102"/>
    <tableColumn id="37" xr3:uid="{EA8974A3-D0F6-4484-826B-89261AC36A5B}" name="Corrected arm girth " dataDxfId="99" totalsRowDxfId="100">
      <calculatedColumnFormula>Anthropometry[[#This Row],[Upper arm girth - R]]-(PI()*(Anthropometry[[#This Row],[Triceps]]/10))</calculatedColumnFormula>
    </tableColumn>
    <tableColumn id="36" xr3:uid="{900E6579-304E-405A-9080-DC85C570FC26}" name="Corrected thigh girth" dataDxfId="97" totalsRowDxfId="98">
      <calculatedColumnFormula>Anthropometry[[#This Row],[Mid-thighs]]-PI()*(Anthropometry[[#This Row],[Thigh]]/10)</calculatedColumnFormula>
    </tableColumn>
    <tableColumn id="35" xr3:uid="{1B10EC22-3447-4325-A136-7DB94113A356}" name="Corrected calf girth" dataDxfId="95" totalsRowDxfId="96">
      <calculatedColumnFormula>Anthropometry[[#This Row],[Mid-calf]]-PI()*(Anthropometry[[#This Row],[Calf]]/10)</calculatedColumnFormula>
    </tableColumn>
    <tableColumn id="38" xr3:uid="{6978CBEB-303C-4118-BC1B-4FB37D67C22C}" name="BIA FM (kg)" dataDxfId="93" totalsRowDxfId="94"/>
    <tableColumn id="39" xr3:uid="{8237D694-44E6-4726-BB51-78745185204F}" name="BIA SMM (kg)" dataDxfId="91" totalsRowDxfId="92"/>
    <tableColumn id="27" xr3:uid="{1F2142FA-DDEC-4F67-8B4F-1B66E230DCDE}" name="DEXA %LEAN" dataDxfId="89" totalsRowDxfId="90"/>
    <tableColumn id="28" xr3:uid="{1295EFB5-7363-4CC7-8AC2-9ACD33BE29A4}" name="DEXA %BF" dataDxfId="87" totalsRowDxfId="88"/>
    <tableColumn id="29" xr3:uid="{12358523-DCF7-4020-ADEC-00BC948AC70D}" name="DEXA LBM (kg)" dataDxfId="85" totalsRowDxfId="86"/>
    <tableColumn id="30" xr3:uid="{D92E1EFA-4276-4A60-9521-6968A67B6732}" name="DEXA FM (kg)" dataDxfId="83" totalsRowDxfId="84"/>
    <tableColumn id="31" xr3:uid="{ADC0E682-61B0-433A-8512-25DAC6A9C5BD}" name=" DEXA LLM (kg)" dataDxfId="81" totalsRowDxfId="82"/>
    <tableColumn id="32" xr3:uid="{34E6B0AA-5F0D-4553-9E67-C5BACA929882}" name="DEXA Pelvis (kg)" dataDxfId="79" totalsRowDxfId="80"/>
    <tableColumn id="33" xr3:uid="{DCA081DA-FE3C-4FC6-9FDF-186C5236ED09}" name="DEXA Total Lower limb (kg)" dataDxfId="77" totalsRowDxfId="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D6E1E7-6D5B-41E7-A237-C81D0F5DB23D}" name="CdA" displayName="CdA" ref="A1:O49" totalsRowShown="0" headerRowDxfId="76" headerRowBorderDxfId="74" tableBorderDxfId="75">
  <autoFilter ref="A1:O49" xr:uid="{7FC7DAA0-12DF-4F95-92CB-EA1CEF8CCBAA}">
    <filterColumn colId="0">
      <filters>
        <filter val="Ellesse Andrews"/>
        <filter val="Olivia King"/>
        <filter val="Rebecca Petch"/>
        <filter val="Sam Dakin"/>
        <filter val="Shaane Fulton"/>
      </filters>
    </filterColumn>
  </autoFilter>
  <sortState xmlns:xlrd2="http://schemas.microsoft.com/office/spreadsheetml/2017/richdata2" ref="A4:O47">
    <sortCondition descending="1" ref="B1:B49"/>
  </sortState>
  <tableColumns count="15">
    <tableColumn id="1" xr3:uid="{C3BA494E-4C78-4064-8907-6C98A3EA5325}" name="Rider"/>
    <tableColumn id="2" xr3:uid="{99AE3DDA-D6B8-445A-96EB-5C57F9393548}" name="Date" dataDxfId="73"/>
    <tableColumn id="3" xr3:uid="{106B7C6D-3E01-4E82-990A-60C4E04C9A51}" name="CdA" dataDxfId="72"/>
    <tableColumn id="4" xr3:uid="{410333BF-4D08-48B7-AAC3-65FA150349D5}" name="Duration" dataDxfId="71"/>
    <tableColumn id="5" xr3:uid="{A6A93DB6-A5B4-48DE-9164-34C9AE6EFB65}" name="Power"/>
    <tableColumn id="6" xr3:uid="{019811D2-E88A-47E7-94C1-31E8F6443A17}" name="Cadence"/>
    <tableColumn id="7" xr3:uid="{1C01D8FE-4B9D-4FED-9B3D-EA4E0CA41DDE}" name="Gear"/>
    <tableColumn id="8" xr3:uid="{F11AD63E-53B8-43BD-821F-44003A562B45}" name="Air Density"/>
    <tableColumn id="9" xr3:uid="{F5CA787B-A46D-4D48-99DC-FB58E787FA0C}" name="Standardised Duration"/>
    <tableColumn id="10" xr3:uid="{96A977AB-6F54-474C-ADB7-3846AD16684F}" name="TEM" dataDxfId="70"/>
    <tableColumn id="11" xr3:uid="{F51895A0-248D-4C84-8120-42F16F913B34}" name="CV" dataDxfId="69"/>
    <tableColumn id="12" xr3:uid="{6FF47437-C840-4D15-82B7-DEE3EFCF5530}" name="Bike"/>
    <tableColumn id="13" xr3:uid="{5CFADDE5-C005-4A17-AE67-BA7C6507EC7A}" name="Skinsuit"/>
    <tableColumn id="14" xr3:uid="{1DADA979-1D16-44A7-9462-737ED2F2FB8A}" name="Protocol"/>
    <tableColumn id="15" xr3:uid="{92CF412E-47F3-4327-A9B1-3320E521FB4E}" name="Average Spe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D9E468-8B39-4497-8EE4-DDA5B8BCD893}" name="Performance" displayName="Performance" ref="A1:G109" totalsRowShown="0">
  <autoFilter ref="A1:G109" xr:uid="{9E4C5336-AEBC-4178-B85F-DB8700D22F7F}"/>
  <sortState xmlns:xlrd2="http://schemas.microsoft.com/office/spreadsheetml/2017/richdata2" ref="A2:G109">
    <sortCondition ref="E1:E109"/>
  </sortState>
  <tableColumns count="7">
    <tableColumn id="1" xr3:uid="{7A8A5DFC-93FD-461F-94A5-3D863BEA9143}" name="Rider"/>
    <tableColumn id="2" xr3:uid="{480483F2-3B77-4617-99D5-EDEA1D05DBED}" name="Date" dataDxfId="68"/>
    <tableColumn id="3" xr3:uid="{5302B279-BBBC-4DA9-A427-9273905E60B9}" name="Effort" dataDxfId="67"/>
    <tableColumn id="4" xr3:uid="{EB0012E5-E31A-4413-B1FE-7604E804502E}" name="Gear"/>
    <tableColumn id="5" xr3:uid="{A074DFA3-59FD-4946-8248-E78CFE388C36}" name="S250m" dataDxfId="66"/>
    <tableColumn id="6" xr3:uid="{F7966F14-055D-4A5A-9384-5EB5CA1BD1D6}" name="F200m"/>
    <tableColumn id="7" xr3:uid="{7E2FC5BD-7B6C-4189-A426-5C4721E7A051}" name="F500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4D3742-85F4-4375-9A22-2BF09AAFA70E}" name="PowerProfiling" displayName="PowerProfiling" ref="A1:BI119" totalsRowShown="0" headerRowDxfId="65">
  <autoFilter ref="A1:BI119" xr:uid="{C101A823-54A7-4D5E-991A-FCD4DAEDD1A2}">
    <filterColumn colId="0">
      <filters>
        <filter val="Sam Dakin"/>
      </filters>
    </filterColumn>
  </autoFilter>
  <sortState xmlns:xlrd2="http://schemas.microsoft.com/office/spreadsheetml/2017/richdata2" ref="A2:BI119">
    <sortCondition ref="B1:B119"/>
  </sortState>
  <tableColumns count="61">
    <tableColumn id="1" xr3:uid="{D6D66D6E-B735-4526-AF58-7A185E577696}" name="Rider"/>
    <tableColumn id="3" xr3:uid="{D80EB7BA-DAB6-40B8-8B66-8DA833CE7BF3}" name="Date"/>
    <tableColumn id="17" xr3:uid="{D85AF9AF-21FD-48E3-BAFE-28647F50EBA3}" name="Rider Weight" dataDxfId="64"/>
    <tableColumn id="19" xr3:uid="{ACA7A30A-4CAA-446C-9D3B-FE66BA191EFE}" name="Gear" dataDxfId="63"/>
    <tableColumn id="15" xr3:uid="{478A6C7C-79D4-4710-AE5B-505B656BA6A5}" name="IL Peak Power (W)" dataDxfId="62"/>
    <tableColumn id="6" xr3:uid="{8B8E117B-41C0-404B-A38D-B490778C95FB}" name="IL Peak Power (W.kg)" dataDxfId="61">
      <calculatedColumnFormula>PowerProfiling[[#This Row],[IL Peak Power (W)]]/PowerProfiling[[#This Row],[Rider Weight]]</calculatedColumnFormula>
    </tableColumn>
    <tableColumn id="8" xr3:uid="{404815AC-43E5-46AB-ACA6-0C4D13A9FC36}" name=" IL Optimal Cadence (RPM)" dataDxfId="60">
      <calculatedColumnFormula>PowerProfiling[[#This Row],[IL Max Cadence (RPM)]]*0.5</calculatedColumnFormula>
    </tableColumn>
    <tableColumn id="9" xr3:uid="{5E7F952F-7F5C-4686-B669-7C33197DE49D}" name="IL Max Torque (N.m)" dataDxfId="59"/>
    <tableColumn id="26" xr3:uid="{8621D5EF-3D8D-4BCB-AAF2-BD6BA6996E88}" name="IL Max Cadence (RPM)"/>
    <tableColumn id="23" xr3:uid="{0E180B07-97B1-46B8-B9AA-88782362F94D}" name="S500 Time"/>
    <tableColumn id="22" xr3:uid="{046967E3-4D34-4F9C-BF7D-48AAC6EDA780}" name="S500Peak Power"/>
    <tableColumn id="21" xr3:uid="{975F3A22-8155-40FE-99DA-F4C4BF23A912}" name="S500Peak Power W.kg" dataDxfId="58">
      <calculatedColumnFormula>PowerProfiling[[#This Row],[S500Peak Power]]/PowerProfiling[[#This Row],[Rider Weight]]</calculatedColumnFormula>
    </tableColumn>
    <tableColumn id="2" xr3:uid="{A42F5446-C339-4650-9B6A-F4D09B78E5DA}" name="S500m Peak Power Distance" dataDxfId="57"/>
    <tableColumn id="12" xr3:uid="{248D893E-5EF2-4A53-9443-E0814A94C904}" name="10s MMP"/>
    <tableColumn id="13" xr3:uid="{2D525E2F-E408-48B3-B1F2-3D8A67AE69D6}" name="20s MMP"/>
    <tableColumn id="14" xr3:uid="{2FE76910-068D-40D4-BD1B-5BDD6BE6A895}" name="30s MMP"/>
    <tableColumn id="5" xr3:uid="{1B00AA7D-0541-4DA4-AF55-AA6F8C8E17C2}" name="Fatigue Index" dataDxfId="56">
      <calculatedColumnFormula>((PowerProfiling[[#This Row],[S500Peak Power]]-PowerProfiling[[#This Row],[30s MMP]])/PowerProfiling[[#This Row],[S500Peak Power]])*100</calculatedColumnFormula>
    </tableColumn>
    <tableColumn id="27" xr3:uid="{21F0635C-A82C-4446-B538-3DA48B7E1F6F}" name="RPM1"/>
    <tableColumn id="28" xr3:uid="{61F024E2-DD65-4FE4-86A2-C0F0A842D78A}" name="RPM2"/>
    <tableColumn id="29" xr3:uid="{F808EDBD-C3FA-4FD4-993A-12056FD473E4}" name="RPM3"/>
    <tableColumn id="30" xr3:uid="{68F612AE-EF7D-4F14-9C98-D6B5B03B78A7}" name="RPM4"/>
    <tableColumn id="31" xr3:uid="{7DBD501A-0392-4BDC-B817-0CE68FE63710}" name="RPM5"/>
    <tableColumn id="32" xr3:uid="{F65602E4-5BD6-42A5-AD1D-1FE1310020C2}" name="RPM6"/>
    <tableColumn id="33" xr3:uid="{96F0F32A-56B5-42F1-8BEE-8C4C262F744D}" name="RPM7"/>
    <tableColumn id="34" xr3:uid="{7BFFE53C-553D-452C-B173-D74397C7C5F2}" name="RPM8"/>
    <tableColumn id="35" xr3:uid="{87EA844B-6411-4161-A2CF-425BE728DBA7}" name="Power1"/>
    <tableColumn id="36" xr3:uid="{ACC8D29A-5CA9-483D-8709-7BB575730E0F}" name="Power2"/>
    <tableColumn id="37" xr3:uid="{017EDE32-FD54-41CB-8438-39C36453301F}" name="Power3"/>
    <tableColumn id="38" xr3:uid="{B91272BD-E3B3-4E8E-98C5-19F97D3760B7}" name="Power4"/>
    <tableColumn id="39" xr3:uid="{4C7CAD46-0BFA-47B5-9D70-8261469B56E8}" name="Power5"/>
    <tableColumn id="40" xr3:uid="{D722C381-3FB4-4026-AB1A-8E4A354F3E20}" name="Power6"/>
    <tableColumn id="41" xr3:uid="{A0D14CF4-90FA-4BFD-ABE0-10062E245378}" name="Power7"/>
    <tableColumn id="42" xr3:uid="{B20C7FF3-D814-4A72-A594-D6A9E92BCEC9}" name="Power8"/>
    <tableColumn id="43" xr3:uid="{ED56635E-B721-4915-9443-CA0EF9080798}" name="Torque1" dataDxfId="55">
      <calculatedColumnFormula>Z2/(R2*(PI()/30))</calculatedColumnFormula>
    </tableColumn>
    <tableColumn id="44" xr3:uid="{64C0F984-FFA7-43F8-BBA6-16915D462D25}" name="Torque2" dataDxfId="54">
      <calculatedColumnFormula>AA2/(S2*(PI()/30))</calculatedColumnFormula>
    </tableColumn>
    <tableColumn id="45" xr3:uid="{F91E15F3-8E3D-442E-9855-F64E7AAAB3E9}" name="Torque3" dataDxfId="53">
      <calculatedColumnFormula>AB2/(T2*(PI()/30))</calculatedColumnFormula>
    </tableColumn>
    <tableColumn id="46" xr3:uid="{EBDB4961-7D01-486F-A6C2-AEBE777F154B}" name="Torque4" dataDxfId="52">
      <calculatedColumnFormula>AC2/(U2*(PI()/30))</calculatedColumnFormula>
    </tableColumn>
    <tableColumn id="47" xr3:uid="{264160EF-5EC4-49B5-A5BE-E41AD7C148A8}" name="Torque5" dataDxfId="51">
      <calculatedColumnFormula>AD2/(V2*(PI()/30))</calculatedColumnFormula>
    </tableColumn>
    <tableColumn id="48" xr3:uid="{14D35D81-3620-4681-B0C3-8EF14FAF29BB}" name="Torque6" dataDxfId="50">
      <calculatedColumnFormula>AE2/(W2*(PI()/30))</calculatedColumnFormula>
    </tableColumn>
    <tableColumn id="49" xr3:uid="{1EF4FD51-E010-4683-A8E9-EA0677543A88}" name="Torque7" dataDxfId="49">
      <calculatedColumnFormula>AF2/(X2*(PI()/30))</calculatedColumnFormula>
    </tableColumn>
    <tableColumn id="50" xr3:uid="{DDC6A2D2-A95D-4DF8-99F2-564F1AAB6D7D}" name="Torque8" dataDxfId="48">
      <calculatedColumnFormula>AG2/(Y2*(PI()/30))</calculatedColumnFormula>
    </tableColumn>
    <tableColumn id="4" xr3:uid="{33DB9647-F3E4-4328-A090-586AA2141FDA}" name="Temperature" dataDxfId="47"/>
    <tableColumn id="10" xr3:uid="{AC8A4E5E-9ED5-4766-8771-E5DE07B90E79}" name="Pressure" dataDxfId="46"/>
    <tableColumn id="11" xr3:uid="{BAD46A02-F959-4903-AB7A-0834A195430C}" name="Humidity2" dataDxfId="45"/>
    <tableColumn id="16" xr3:uid="{70CBAB8A-52F4-4072-BCE6-0E9C2DEC8843}" name="Air Density" dataDxfId="44"/>
    <tableColumn id="20" xr3:uid="{FB774F91-6C8E-4172-A9CE-CC0F99AF0FB9}" name="Standardised Time (1.169)" dataDxfId="43"/>
    <tableColumn id="7" xr3:uid="{A5033DEF-FBD1-4DD3-AF08-3A8FC654C8B0}" name="PP1" dataDxfId="42"/>
    <tableColumn id="18" xr3:uid="{B1879E75-238E-4C31-BF44-5DEC05E404C8}" name="MP1" dataDxfId="41"/>
    <tableColumn id="24" xr3:uid="{4A0659A9-4A0A-4907-B0A0-B1A85D6B5E5F}" name="FP1" dataDxfId="40"/>
    <tableColumn id="25" xr3:uid="{1EFDF0FE-2699-4A47-BB55-3A9B093585EA}" name="FI1" dataDxfId="39"/>
    <tableColumn id="51" xr3:uid="{800EFF3E-FD1A-4BB1-BB48-CEC8BD21AF69}" name="PP2" dataDxfId="38"/>
    <tableColumn id="52" xr3:uid="{0FF4EBAA-CBCA-4852-B14A-BE0392E7698D}" name="MP2" dataDxfId="37"/>
    <tableColumn id="53" xr3:uid="{CFCD6EFA-1E82-4D3A-A452-6725DDB8598D}" name="FP2" dataDxfId="36"/>
    <tableColumn id="54" xr3:uid="{0C45FCF7-4322-4D0B-A7C0-FD99B257A8F0}" name="FI2" dataDxfId="35"/>
    <tableColumn id="55" xr3:uid="{1086DA26-8711-4548-8E4E-BED0FA73185C}" name="PP3" dataDxfId="34"/>
    <tableColumn id="56" xr3:uid="{AA0C8FC6-D1D4-4B9F-8507-A7A314059F3D}" name="MP3" dataDxfId="33"/>
    <tableColumn id="57" xr3:uid="{590EB9BC-0D73-48E5-AF31-B267F6B06335}" name="FP3" dataDxfId="32"/>
    <tableColumn id="58" xr3:uid="{6C5FD6A6-4534-430E-B2C9-8BA2E6DA36B1}" name="FI3" dataDxfId="31"/>
    <tableColumn id="59" xr3:uid="{FDA733FB-ABD9-415F-AC36-B0829C8D0613}" name="PPLoss" dataDxfId="30">
      <calculatedColumnFormula>((AU2-BC2)/AU2)*100</calculatedColumnFormula>
    </tableColumn>
    <tableColumn id="60" xr3:uid="{4543E2B7-F2FE-49C4-8E93-EABAF8E00AAC}" name="MPLoss" dataDxfId="29">
      <calculatedColumnFormula>((AV2-BD2)/AV2)*100</calculatedColumnFormula>
    </tableColumn>
    <tableColumn id="61" xr3:uid="{FFCA9783-970C-44EE-946E-4D6FEE654D42}" name="Seat height" dataDxfId="2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586E1F-66AB-402B-AE3D-09F4C8B007A3}" name="Architecture" displayName="Architecture" ref="A1:E14" totalsRowShown="0">
  <autoFilter ref="A1:E14" xr:uid="{AF4264DE-78F7-4CF7-BBA1-18E8F8AD2D37}"/>
  <tableColumns count="5">
    <tableColumn id="1" xr3:uid="{859685B3-2E38-428D-B3D3-19DF8EF27C6B}" name="Athlete"/>
    <tableColumn id="2" xr3:uid="{1AA1EA72-DFDC-42C7-A2F9-FCA3C5EF7A42}" name="Date" dataDxfId="27"/>
    <tableColumn id="3" xr3:uid="{67B5D5FC-6E47-4E8D-9586-188E46EA8077}" name="VL Thickness" dataDxfId="26"/>
    <tableColumn id="4" xr3:uid="{36807F46-DD54-4B70-8459-131A9C90B3DA}" name="VL PA" dataDxfId="25"/>
    <tableColumn id="5" xr3:uid="{7783AC7B-43A5-4171-B3E2-82B218672949}" name="VL F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DB2462-5176-4C92-8635-C90ED8F0F0D4}" name="Fatigue" displayName="Fatigue" ref="A1:Q40" totalsRowShown="0" headerRowDxfId="24">
  <autoFilter ref="A1:Q40" xr:uid="{E29F12B1-C202-4883-8868-6D5C7DB9260A}"/>
  <tableColumns count="17">
    <tableColumn id="1" xr3:uid="{705233C1-410D-46CC-8FE4-5A1D92D913CB}" name="Rider"/>
    <tableColumn id="2" xr3:uid="{4AE3B0BD-178D-415F-B52C-5B7FA9B6DF96}" name="Date" dataDxfId="23"/>
    <tableColumn id="3" xr3:uid="{D3AC7CEF-5811-43EA-9BE0-3705CF3902D1}" name="Gear"/>
    <tableColumn id="4" xr3:uid="{627CDA22-6D00-4DE0-AAC3-E0C93C9369F5}" name="PP1"/>
    <tableColumn id="5" xr3:uid="{78B7DD24-0117-4698-8B51-D150A6D4989F}" name="MP1"/>
    <tableColumn id="6" xr3:uid="{6D4BD7A1-DC6D-424C-AE98-33464F09D37E}" name="FP1"/>
    <tableColumn id="7" xr3:uid="{583F84A5-2CDA-4FE2-B108-B40511D6B043}" name="FI1"/>
    <tableColumn id="8" xr3:uid="{676DFB69-6D0E-4CF5-9CCD-E9E1D10172CF}" name="PP2"/>
    <tableColumn id="9" xr3:uid="{E17CE503-1B79-4BA2-AA65-AF584E5BA65E}" name="MP2"/>
    <tableColumn id="10" xr3:uid="{F3823C12-9677-444F-8923-BBA919432A0C}" name="FP2"/>
    <tableColumn id="11" xr3:uid="{6F2C850E-796C-4076-8902-769F74F67BAC}" name="FI2"/>
    <tableColumn id="12" xr3:uid="{2311DFA7-4044-44B8-9CDC-B13602923354}" name="PP3"/>
    <tableColumn id="13" xr3:uid="{78C30CA5-29CE-4FBE-B7B2-671ACDF6947F}" name="MP3"/>
    <tableColumn id="14" xr3:uid="{F4098BD5-8471-488B-BE69-D24CD69AC9C1}" name="FP3"/>
    <tableColumn id="15" xr3:uid="{D73BD7CB-F7C9-48EE-97F5-2D75F08B4AE4}" name="FI3"/>
    <tableColumn id="16" xr3:uid="{5639300B-FFDE-4A5B-85A4-3D76C9B7D019}" name="PPLoss" dataDxfId="22">
      <calculatedColumnFormula>((D2-L2)/D2)*100</calculatedColumnFormula>
    </tableColumn>
    <tableColumn id="17" xr3:uid="{E0F6E4BB-CE2C-4703-9F0D-687934C3C2A1}" name="MPLoss" dataDxfId="21">
      <calculatedColumnFormula>((E2-M2)/E2)*100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4C0CAE-912F-42FC-8775-30649A71C95C}" name="Strength" displayName="Strength" ref="A1:H99" totalsRowShown="0" headerRowDxfId="20">
  <autoFilter ref="A1:H99" xr:uid="{39535B69-2865-4CF7-BE2D-9307ED6F011C}"/>
  <sortState xmlns:xlrd2="http://schemas.microsoft.com/office/spreadsheetml/2017/richdata2" ref="A2:H90">
    <sortCondition ref="B1:B90"/>
  </sortState>
  <tableColumns count="8">
    <tableColumn id="1" xr3:uid="{910D4B4F-DFF0-4EAC-936C-58060C1B035B}" name="Rider"/>
    <tableColumn id="2" xr3:uid="{DE1E208F-90D4-452E-9638-69A3B4A2DAD8}" name="Date" dataDxfId="19"/>
    <tableColumn id="3" xr3:uid="{A715C546-7752-4665-96F7-149C791C2224}" name="iMTP PF"/>
    <tableColumn id="4" xr3:uid="{4A15254C-B7CE-460E-85CB-8620CE2A9C50}" name="iMPTP PF.KG" dataDxfId="18"/>
    <tableColumn id="5" xr3:uid="{4B8D61EA-D3AC-4291-8FFD-374E54D7BCD0}" name="40% JS MP" dataDxfId="17"/>
    <tableColumn id="6" xr3:uid="{118BAC1A-179E-48EE-A669-38464FB6AF66}" name="40% JS MP.KG" dataDxfId="16"/>
    <tableColumn id="7" xr3:uid="{DFDD64DA-FBF0-49E9-B665-52F419E8938F}" name="Leg Press Right"/>
    <tableColumn id="8" xr3:uid="{1C9466D0-4985-4AD3-A942-B742D33BA925}" name="Leg Press Lef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6ADC23-0376-46B8-A04B-D9B72AAA26E5}" name="PBs" displayName="PBs" ref="A1:R17" totalsRowShown="0">
  <autoFilter ref="A1:R17" xr:uid="{3B6ADC23-0376-46B8-A04B-D9B72AAA26E5}"/>
  <sortState xmlns:xlrd2="http://schemas.microsoft.com/office/spreadsheetml/2017/richdata2" ref="A2:R17">
    <sortCondition ref="H1:H17"/>
  </sortState>
  <tableColumns count="18">
    <tableColumn id="1" xr3:uid="{4FEFCAD2-9F26-47C1-91BC-13476536E283}" name="Athlete"/>
    <tableColumn id="2" xr3:uid="{61CA2314-E2F2-4239-8123-9EB3D2824B2E}" name="DOB" dataDxfId="15"/>
    <tableColumn id="3" xr3:uid="{76E014FD-20BE-4F15-89B5-5A01C3439126}" name="Today" dataDxfId="14"/>
    <tableColumn id="4" xr3:uid="{31A98B4E-48AF-4F6F-B448-091DC0B2908F}" name="Age" dataDxfId="13">
      <calculatedColumnFormula>(PBs[[#This Row],[Today]]-PBs[[#This Row],[DOB]])/365</calculatedColumnFormula>
    </tableColumn>
    <tableColumn id="17" xr3:uid="{82FBAEA3-DDFA-4F01-A89A-0B9341B03644}" name="Weight" dataDxfId="12"/>
    <tableColumn id="5" xr3:uid="{95A892B8-4C16-4EA7-A0CE-A0D98AB5EEE2}" name="Height" dataDxfId="11"/>
    <tableColumn id="6" xr3:uid="{BEBB329D-F5EF-4688-B583-9E85740C92D9}" name="CdA" dataDxfId="10"/>
    <tableColumn id="7" xr3:uid="{6704ACA8-3BD8-4BD3-8B48-B741FC0B4031}" name="Standing Lap" dataDxfId="9"/>
    <tableColumn id="8" xr3:uid="{D91ACE98-E85A-4867-BA0A-71F815BD8ECF}" name="F200m" dataDxfId="8"/>
    <tableColumn id="9" xr3:uid="{721EE597-F5A2-46F2-AD8F-97B89E1D80F9}" name="F500 " dataDxfId="7"/>
    <tableColumn id="10" xr3:uid="{23FA37D3-3E91-41E5-81A8-9B55D7DA9050}" name="Max Watts"/>
    <tableColumn id="11" xr3:uid="{2A3A1DBC-602B-4718-9E22-D66B4D96D5A3}" name="Max Watts/Kg" dataDxfId="6"/>
    <tableColumn id="12" xr3:uid="{53A4E29A-179C-4F1C-ABA2-C56B4D814191}" name="Max 30s Watts" dataDxfId="5"/>
    <tableColumn id="18" xr3:uid="{E21DD7A9-D802-4122-8DAB-2EDB3167AC4B}" name="30s Watts/CdA" dataDxfId="4">
      <calculatedColumnFormula>PBs[[#This Row],[Max 30s Watts]]/PBs[[#This Row],[CdA]]</calculatedColumnFormula>
    </tableColumn>
    <tableColumn id="13" xr3:uid="{2BC8C474-EA5B-4A12-B9C3-855844C9F020}" name="Max N.m" dataDxfId="3"/>
    <tableColumn id="14" xr3:uid="{3201AE2E-E5A0-4BFE-8636-5F3361270B08}" name="Max N.m/kg" dataDxfId="2"/>
    <tableColumn id="15" xr3:uid="{A2248689-63C3-4FAB-A561-5CBA239D5809}" name="Box Squat (40cm)" dataDxfId="1"/>
    <tableColumn id="16" xr3:uid="{2C472C67-A919-4018-88D1-A145B829AD75}" name="Squat 1RM/k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D9B9-DB2F-425C-AAF6-7747F83A0DDD}">
  <dimension ref="A1:AN425"/>
  <sheetViews>
    <sheetView topLeftCell="A409" workbookViewId="0">
      <selection activeCell="C432" sqref="C432"/>
    </sheetView>
  </sheetViews>
  <sheetFormatPr defaultColWidth="9" defaultRowHeight="15" customHeight="1"/>
  <cols>
    <col min="1" max="1" width="15.42578125" bestFit="1" customWidth="1"/>
    <col min="2" max="2" width="11.85546875" style="12" customWidth="1"/>
    <col min="4" max="4" width="12.85546875" customWidth="1"/>
    <col min="7" max="7" width="10.28515625" customWidth="1"/>
    <col min="8" max="8" width="9.28515625" customWidth="1"/>
    <col min="9" max="9" width="6.140625" customWidth="1"/>
    <col min="10" max="10" width="4.28515625" customWidth="1"/>
    <col min="11" max="12" width="13.42578125" customWidth="1"/>
    <col min="13" max="13" width="9.85546875" customWidth="1"/>
    <col min="14" max="14" width="12.28515625" customWidth="1"/>
    <col min="15" max="15" width="12.7109375" customWidth="1"/>
    <col min="17" max="17" width="10" customWidth="1"/>
    <col min="19" max="19" width="13.28515625" customWidth="1"/>
    <col min="22" max="22" width="14" customWidth="1"/>
    <col min="23" max="23" width="12.28515625" customWidth="1"/>
    <col min="27" max="32" width="11" customWidth="1"/>
    <col min="33" max="33" width="14.140625" bestFit="1" customWidth="1"/>
    <col min="34" max="34" width="11.7109375" bestFit="1" customWidth="1"/>
    <col min="35" max="35" width="15.85546875" bestFit="1" customWidth="1"/>
    <col min="36" max="36" width="14.7109375" bestFit="1" customWidth="1"/>
    <col min="37" max="37" width="15.7109375" customWidth="1"/>
    <col min="38" max="38" width="16.85546875" bestFit="1" customWidth="1"/>
    <col min="39" max="39" width="26.28515625" bestFit="1" customWidth="1"/>
  </cols>
  <sheetData>
    <row r="1" spans="1:39" ht="14.45">
      <c r="A1" t="s">
        <v>0</v>
      </c>
      <c r="B1" s="1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t="14.45">
      <c r="A2" t="s">
        <v>39</v>
      </c>
      <c r="B2" s="12">
        <v>41414</v>
      </c>
      <c r="C2" s="14">
        <v>0.4375</v>
      </c>
      <c r="D2">
        <v>180.3</v>
      </c>
      <c r="E2" s="8">
        <v>83.3</v>
      </c>
      <c r="F2" s="8"/>
      <c r="G2" s="6">
        <v>77.277060140000003</v>
      </c>
      <c r="H2" s="6">
        <v>6.0229398600000001</v>
      </c>
      <c r="I2" s="6"/>
      <c r="J2" s="6">
        <v>97.6</v>
      </c>
      <c r="K2" s="6">
        <v>31</v>
      </c>
      <c r="L2" s="6"/>
      <c r="M2" s="6">
        <v>98</v>
      </c>
      <c r="N2" s="6">
        <v>59.5</v>
      </c>
      <c r="O2" s="6">
        <v>183.25799999999998</v>
      </c>
      <c r="P2" s="6"/>
      <c r="Q2" s="6">
        <v>39.799999999999997</v>
      </c>
      <c r="R2" s="6">
        <v>7.2</v>
      </c>
      <c r="S2" s="6">
        <v>7.9</v>
      </c>
      <c r="T2" s="6">
        <v>3.5</v>
      </c>
      <c r="U2" s="6">
        <v>12.7</v>
      </c>
      <c r="V2" s="6">
        <v>6.3</v>
      </c>
      <c r="W2" s="6">
        <v>11.4</v>
      </c>
      <c r="X2" s="6">
        <v>6.8</v>
      </c>
      <c r="Y2" s="6">
        <v>4.5999999999999996</v>
      </c>
      <c r="Z2" s="6">
        <v>60.4</v>
      </c>
      <c r="AA2" s="6">
        <v>7.2304200000000005</v>
      </c>
      <c r="AB2" s="6">
        <f>Anthropometry[[#This Row],[Upper arm girth - R]]-(PI()*(Anthropometry[[#This Row],[Triceps]]/10))</f>
        <v>28.738053289415348</v>
      </c>
      <c r="AC2" s="6">
        <f>Anthropometry[[#This Row],[Mid-thighs]]-PI()*(Anthropometry[[#This Row],[Thigh]]/10)</f>
        <v>57.363716995558939</v>
      </c>
      <c r="AD2" s="6">
        <f>Anthropometry[[#This Row],[Mid-calf]]-PI()*(Anthropometry[[#This Row],[Calf]]/10)</f>
        <v>38.35486737934869</v>
      </c>
      <c r="AE2" s="6"/>
      <c r="AF2" s="6"/>
    </row>
    <row r="3" spans="1:39" ht="14.45">
      <c r="A3" t="s">
        <v>40</v>
      </c>
      <c r="B3" s="12">
        <v>41414</v>
      </c>
      <c r="C3" s="14">
        <v>0.60416666666666663</v>
      </c>
      <c r="D3" s="6">
        <v>182.1</v>
      </c>
      <c r="E3">
        <v>85.7</v>
      </c>
      <c r="G3" s="6">
        <v>79.197289679999997</v>
      </c>
      <c r="H3" s="6">
        <v>6.5027103199999994</v>
      </c>
      <c r="I3">
        <v>124.4</v>
      </c>
      <c r="J3">
        <v>100.4</v>
      </c>
      <c r="K3">
        <v>32</v>
      </c>
      <c r="M3">
        <v>102.7</v>
      </c>
      <c r="N3">
        <v>57.5</v>
      </c>
      <c r="O3" s="6">
        <v>176.40599999999995</v>
      </c>
      <c r="Q3">
        <v>35.5</v>
      </c>
      <c r="R3">
        <v>5.5</v>
      </c>
      <c r="S3">
        <v>10.3</v>
      </c>
      <c r="T3">
        <v>2.8</v>
      </c>
      <c r="U3">
        <v>9.5</v>
      </c>
      <c r="V3">
        <v>6.6</v>
      </c>
      <c r="W3">
        <v>15.2</v>
      </c>
      <c r="X3">
        <v>5.6</v>
      </c>
      <c r="Y3">
        <v>4.4000000000000004</v>
      </c>
      <c r="Z3">
        <v>59.900000000000006</v>
      </c>
      <c r="AA3" s="6">
        <v>7.5877599999999994</v>
      </c>
      <c r="AB3" s="6">
        <f>Anthropometry[[#This Row],[Upper arm girth - R]]-(PI()*(Anthropometry[[#This Row],[Triceps]]/10))</f>
        <v>30.272124040525615</v>
      </c>
      <c r="AC3" s="6">
        <f>Anthropometry[[#This Row],[Mid-thighs]]-PI()*(Anthropometry[[#This Row],[Thigh]]/10)</f>
        <v>55.740708113989719</v>
      </c>
      <c r="AD3" s="6">
        <f>Anthropometry[[#This Row],[Mid-calf]]-PI()*(Anthropometry[[#This Row],[Calf]]/10)</f>
        <v>34.117699232420492</v>
      </c>
      <c r="AE3" s="6"/>
      <c r="AF3" s="6"/>
    </row>
    <row r="4" spans="1:39" ht="14.45">
      <c r="A4" t="s">
        <v>40</v>
      </c>
      <c r="B4" s="12">
        <v>41480</v>
      </c>
      <c r="C4" s="14">
        <v>0.48819444444444443</v>
      </c>
      <c r="D4" s="6">
        <v>182.1</v>
      </c>
      <c r="E4">
        <v>82.9</v>
      </c>
      <c r="G4" s="6">
        <v>76.601034170000005</v>
      </c>
      <c r="H4" s="6">
        <v>6.2989658300000011</v>
      </c>
      <c r="I4">
        <v>120.5</v>
      </c>
      <c r="J4">
        <v>94.5</v>
      </c>
      <c r="K4">
        <v>32.200000000000003</v>
      </c>
      <c r="M4">
        <v>100.1</v>
      </c>
      <c r="N4">
        <v>57.1</v>
      </c>
      <c r="O4" s="6">
        <v>173.28000000000003</v>
      </c>
      <c r="Q4">
        <v>35.200000000000003</v>
      </c>
      <c r="R4">
        <v>5.8</v>
      </c>
      <c r="S4">
        <v>10.5</v>
      </c>
      <c r="T4">
        <v>2.6</v>
      </c>
      <c r="U4">
        <v>11</v>
      </c>
      <c r="V4">
        <v>6.2</v>
      </c>
      <c r="W4">
        <v>14.2</v>
      </c>
      <c r="X4">
        <v>6.2</v>
      </c>
      <c r="Y4">
        <v>4.8</v>
      </c>
      <c r="Z4">
        <v>61.3</v>
      </c>
      <c r="AA4" s="6">
        <v>7.5982700000000003</v>
      </c>
      <c r="AB4" s="6">
        <f>Anthropometry[[#This Row],[Upper arm girth - R]]-(PI()*(Anthropometry[[#This Row],[Triceps]]/10))</f>
        <v>30.377876260917922</v>
      </c>
      <c r="AC4" s="6">
        <f>Anthropometry[[#This Row],[Mid-thighs]]-PI()*(Anthropometry[[#This Row],[Thigh]]/10)</f>
        <v>55.15221255477433</v>
      </c>
      <c r="AD4" s="6">
        <f>Anthropometry[[#This Row],[Mid-calf]]-PI()*(Anthropometry[[#This Row],[Calf]]/10)</f>
        <v>33.692035526276904</v>
      </c>
      <c r="AE4" s="6"/>
      <c r="AF4" s="6"/>
    </row>
    <row r="5" spans="1:39" ht="14.45">
      <c r="A5" t="s">
        <v>39</v>
      </c>
      <c r="B5" s="12">
        <v>41486</v>
      </c>
      <c r="C5" s="14">
        <v>0.38541666666666669</v>
      </c>
      <c r="D5">
        <v>180.3</v>
      </c>
      <c r="E5">
        <v>82.2</v>
      </c>
      <c r="G5" s="6">
        <v>76.118367240000012</v>
      </c>
      <c r="H5" s="6">
        <v>6.0816327600000006</v>
      </c>
      <c r="I5">
        <v>115</v>
      </c>
      <c r="J5">
        <v>93.8</v>
      </c>
      <c r="K5">
        <v>30.4</v>
      </c>
      <c r="M5">
        <v>96.3</v>
      </c>
      <c r="N5">
        <v>57.8</v>
      </c>
      <c r="O5" s="6">
        <v>171.95799999999997</v>
      </c>
      <c r="P5" s="6"/>
      <c r="Q5">
        <v>39.4</v>
      </c>
      <c r="R5">
        <v>7</v>
      </c>
      <c r="S5">
        <v>8</v>
      </c>
      <c r="T5">
        <v>3.6</v>
      </c>
      <c r="U5">
        <v>11.7</v>
      </c>
      <c r="V5">
        <v>6.6</v>
      </c>
      <c r="W5">
        <v>10.8</v>
      </c>
      <c r="X5">
        <v>8.4</v>
      </c>
      <c r="Y5">
        <v>5</v>
      </c>
      <c r="Z5" s="6">
        <v>61.1</v>
      </c>
      <c r="AA5" s="6">
        <v>7.3985799999999999</v>
      </c>
      <c r="AB5" s="6">
        <f>Anthropometry[[#This Row],[Upper arm girth - R]]-(PI()*(Anthropometry[[#This Row],[Triceps]]/10))</f>
        <v>28.200885142487145</v>
      </c>
      <c r="AC5" s="6">
        <f>Anthropometry[[#This Row],[Mid-thighs]]-PI()*(Anthropometry[[#This Row],[Thigh]]/10)</f>
        <v>55.161062170984572</v>
      </c>
      <c r="AD5" s="6">
        <f>Anthropometry[[#This Row],[Mid-calf]]-PI()*(Anthropometry[[#This Row],[Calf]]/10)</f>
        <v>37.8292036732051</v>
      </c>
      <c r="AE5" s="6"/>
      <c r="AF5" s="6"/>
    </row>
    <row r="6" spans="1:39" ht="14.45">
      <c r="A6" t="s">
        <v>40</v>
      </c>
      <c r="B6" s="12">
        <v>41487</v>
      </c>
      <c r="C6" s="14">
        <v>0.4375</v>
      </c>
      <c r="D6" s="6">
        <v>182.1</v>
      </c>
      <c r="E6">
        <v>82.6</v>
      </c>
      <c r="G6" s="6">
        <v>76.966242219999998</v>
      </c>
      <c r="H6" s="6">
        <v>5.6337577799999998</v>
      </c>
      <c r="I6">
        <v>119</v>
      </c>
      <c r="J6">
        <v>96</v>
      </c>
      <c r="K6">
        <v>31.2</v>
      </c>
      <c r="M6">
        <v>99.8</v>
      </c>
      <c r="N6">
        <v>58</v>
      </c>
      <c r="O6" s="6">
        <v>178.32799999999997</v>
      </c>
      <c r="Q6">
        <v>34.9</v>
      </c>
      <c r="R6">
        <v>5.0999999999999996</v>
      </c>
      <c r="S6">
        <v>9.4</v>
      </c>
      <c r="T6">
        <v>2.4</v>
      </c>
      <c r="U6">
        <v>7</v>
      </c>
      <c r="V6">
        <v>4.5</v>
      </c>
      <c r="W6">
        <v>10.7</v>
      </c>
      <c r="X6">
        <v>5.8</v>
      </c>
      <c r="Y6">
        <v>4.8</v>
      </c>
      <c r="Z6">
        <v>49.699999999999989</v>
      </c>
      <c r="AA6" s="6">
        <v>6.8205299999999998</v>
      </c>
      <c r="AB6" s="6">
        <f>Anthropometry[[#This Row],[Upper arm girth - R]]-(PI()*(Anthropometry[[#This Row],[Triceps]]/10))</f>
        <v>29.597787746669205</v>
      </c>
      <c r="AC6" s="6">
        <f>Anthropometry[[#This Row],[Mid-thighs]]-PI()*(Anthropometry[[#This Row],[Thigh]]/10)</f>
        <v>56.17787626091792</v>
      </c>
      <c r="AD6" s="6">
        <f>Anthropometry[[#This Row],[Mid-calf]]-PI()*(Anthropometry[[#This Row],[Calf]]/10)</f>
        <v>33.392035526276899</v>
      </c>
      <c r="AE6" s="6"/>
      <c r="AF6" s="6"/>
    </row>
    <row r="7" spans="1:39" ht="14.45">
      <c r="A7" t="s">
        <v>39</v>
      </c>
      <c r="B7" s="12">
        <v>41540</v>
      </c>
      <c r="C7" s="14">
        <v>0.41666666666666669</v>
      </c>
      <c r="D7">
        <v>180.3</v>
      </c>
      <c r="E7">
        <v>81</v>
      </c>
      <c r="G7" s="6">
        <v>75.560501700000003</v>
      </c>
      <c r="H7" s="6">
        <v>5.4394983000000003</v>
      </c>
      <c r="I7">
        <v>111.1</v>
      </c>
      <c r="J7">
        <v>91.8</v>
      </c>
      <c r="K7">
        <v>29.7</v>
      </c>
      <c r="M7">
        <v>95.8</v>
      </c>
      <c r="N7">
        <v>57.4</v>
      </c>
      <c r="O7" s="6">
        <v>170.71300000000002</v>
      </c>
      <c r="P7" s="6"/>
      <c r="Q7">
        <v>39.799999999999997</v>
      </c>
      <c r="R7">
        <v>5.9</v>
      </c>
      <c r="S7">
        <v>7.1</v>
      </c>
      <c r="T7">
        <v>2.8</v>
      </c>
      <c r="U7">
        <v>7.4</v>
      </c>
      <c r="V7">
        <v>5.3</v>
      </c>
      <c r="W7">
        <v>8.1</v>
      </c>
      <c r="X7">
        <v>8.1</v>
      </c>
      <c r="Y7">
        <v>4.8</v>
      </c>
      <c r="Z7" s="6">
        <v>49.5</v>
      </c>
      <c r="AA7" s="6">
        <v>6.7154299999999996</v>
      </c>
      <c r="AB7" s="6">
        <f>Anthropometry[[#This Row],[Upper arm girth - R]]-(PI()*(Anthropometry[[#This Row],[Triceps]]/10))</f>
        <v>27.846460334382023</v>
      </c>
      <c r="AC7" s="6">
        <f>Anthropometry[[#This Row],[Mid-thighs]]-PI()*(Anthropometry[[#This Row],[Thigh]]/10)</f>
        <v>54.855309950592265</v>
      </c>
      <c r="AD7" s="6">
        <f>Anthropometry[[#This Row],[Mid-calf]]-PI()*(Anthropometry[[#This Row],[Calf]]/10)</f>
        <v>38.292035526276898</v>
      </c>
      <c r="AE7" s="6"/>
      <c r="AF7" s="6"/>
    </row>
    <row r="8" spans="1:39" ht="14.45">
      <c r="A8" t="s">
        <v>40</v>
      </c>
      <c r="B8" s="12">
        <v>41540</v>
      </c>
      <c r="C8" s="14">
        <v>0.39583333333333331</v>
      </c>
      <c r="D8" s="6">
        <v>182.1</v>
      </c>
      <c r="E8">
        <v>84</v>
      </c>
      <c r="G8" s="6">
        <v>77.670423599999992</v>
      </c>
      <c r="H8" s="6">
        <v>6.3295764000000005</v>
      </c>
      <c r="I8">
        <v>120.3</v>
      </c>
      <c r="J8">
        <v>94.5</v>
      </c>
      <c r="K8">
        <v>30.1</v>
      </c>
      <c r="M8">
        <v>99.1</v>
      </c>
      <c r="N8">
        <v>57.2</v>
      </c>
      <c r="O8" s="6">
        <v>173.74799999999999</v>
      </c>
      <c r="Q8">
        <v>35.299999999999997</v>
      </c>
      <c r="R8">
        <v>6.4</v>
      </c>
      <c r="S8">
        <v>10.199999999999999</v>
      </c>
      <c r="T8">
        <v>3</v>
      </c>
      <c r="U8">
        <v>10</v>
      </c>
      <c r="V8">
        <v>6.5</v>
      </c>
      <c r="W8">
        <v>13.1</v>
      </c>
      <c r="X8">
        <v>6.2</v>
      </c>
      <c r="Y8">
        <v>4.7</v>
      </c>
      <c r="Z8">
        <v>60.100000000000009</v>
      </c>
      <c r="AA8" s="6">
        <v>7.5352100000000011</v>
      </c>
      <c r="AB8" s="6">
        <f>Anthropometry[[#This Row],[Upper arm girth - R]]-(PI()*(Anthropometry[[#This Row],[Triceps]]/10))</f>
        <v>28.089380701702535</v>
      </c>
      <c r="AC8" s="6">
        <f>Anthropometry[[#This Row],[Mid-thighs]]-PI()*(Anthropometry[[#This Row],[Thigh]]/10)</f>
        <v>55.252212554774331</v>
      </c>
      <c r="AD8" s="6">
        <f>Anthropometry[[#This Row],[Mid-calf]]-PI()*(Anthropometry[[#This Row],[Calf]]/10)</f>
        <v>33.823451452812797</v>
      </c>
      <c r="AE8" s="6"/>
      <c r="AF8" s="6"/>
    </row>
    <row r="9" spans="1:39" ht="14.45">
      <c r="A9" t="s">
        <v>39</v>
      </c>
      <c r="B9" s="12">
        <v>41562</v>
      </c>
      <c r="C9" s="14">
        <v>0.33333333333333331</v>
      </c>
      <c r="D9">
        <v>180.3</v>
      </c>
      <c r="E9">
        <v>79.599999999999994</v>
      </c>
      <c r="G9" s="6">
        <v>74.580790159999992</v>
      </c>
      <c r="H9" s="6">
        <v>5.0192098400000003</v>
      </c>
      <c r="I9">
        <v>112.3</v>
      </c>
      <c r="J9">
        <v>93.2</v>
      </c>
      <c r="K9">
        <v>30.5</v>
      </c>
      <c r="M9">
        <v>94.2</v>
      </c>
      <c r="N9">
        <v>57.2</v>
      </c>
      <c r="O9" s="6">
        <v>172.91199999999998</v>
      </c>
      <c r="P9" s="6"/>
      <c r="Q9">
        <v>39.1</v>
      </c>
      <c r="R9">
        <v>6.1</v>
      </c>
      <c r="S9">
        <v>6.9</v>
      </c>
      <c r="T9">
        <v>3.2</v>
      </c>
      <c r="U9">
        <v>6.4</v>
      </c>
      <c r="V9">
        <v>5.0999999999999996</v>
      </c>
      <c r="W9">
        <v>6.6</v>
      </c>
      <c r="X9">
        <v>6.6</v>
      </c>
      <c r="Y9">
        <v>4.0999999999999996</v>
      </c>
      <c r="Z9" s="6">
        <v>45.000000000000007</v>
      </c>
      <c r="AA9" s="6">
        <v>6.3055400000000006</v>
      </c>
      <c r="AB9" s="6">
        <f>Anthropometry[[#This Row],[Upper arm girth - R]]-(PI()*(Anthropometry[[#This Row],[Triceps]]/10))</f>
        <v>28.583628481310225</v>
      </c>
      <c r="AC9" s="6">
        <f>Anthropometry[[#This Row],[Mid-thighs]]-PI()*(Anthropometry[[#This Row],[Thigh]]/10)</f>
        <v>55.12654884863074</v>
      </c>
      <c r="AD9" s="6">
        <f>Anthropometry[[#This Row],[Mid-calf]]-PI()*(Anthropometry[[#This Row],[Calf]]/10)</f>
        <v>37.811947012028185</v>
      </c>
      <c r="AE9" s="6"/>
      <c r="AF9" s="6"/>
    </row>
    <row r="10" spans="1:39" ht="14.45">
      <c r="A10" t="s">
        <v>40</v>
      </c>
      <c r="B10" s="12">
        <v>41562</v>
      </c>
      <c r="C10" s="14">
        <v>0.33333333333333331</v>
      </c>
      <c r="D10" s="6">
        <v>182.1</v>
      </c>
      <c r="G10" s="6"/>
      <c r="H10" s="6"/>
      <c r="I10">
        <v>119.5</v>
      </c>
      <c r="J10">
        <v>96</v>
      </c>
      <c r="K10">
        <v>30.5</v>
      </c>
      <c r="M10">
        <v>98.2</v>
      </c>
      <c r="N10">
        <v>56.7</v>
      </c>
      <c r="O10" s="6">
        <v>172.66199999999998</v>
      </c>
      <c r="Q10">
        <v>34.799999999999997</v>
      </c>
      <c r="R10">
        <v>5.9</v>
      </c>
      <c r="S10">
        <v>9.9</v>
      </c>
      <c r="T10">
        <v>2.8</v>
      </c>
      <c r="U10">
        <v>9.8000000000000007</v>
      </c>
      <c r="V10">
        <v>5.2</v>
      </c>
      <c r="W10">
        <v>12.2</v>
      </c>
      <c r="X10">
        <v>5.6</v>
      </c>
      <c r="Y10">
        <v>4.5999999999999996</v>
      </c>
      <c r="Z10">
        <v>56</v>
      </c>
      <c r="AA10" s="6">
        <v>7.1463400000000004</v>
      </c>
      <c r="AB10" s="6">
        <f>Anthropometry[[#This Row],[Upper arm girth - R]]-(PI()*(Anthropometry[[#This Row],[Triceps]]/10))</f>
        <v>28.64646033438202</v>
      </c>
      <c r="AC10" s="6">
        <f>Anthropometry[[#This Row],[Mid-thighs]]-PI()*(Anthropometry[[#This Row],[Thigh]]/10)</f>
        <v>54.940708113989722</v>
      </c>
      <c r="AD10" s="6">
        <f>Anthropometry[[#This Row],[Mid-calf]]-PI()*(Anthropometry[[#This Row],[Calf]]/10)</f>
        <v>33.35486737934869</v>
      </c>
      <c r="AE10" s="6"/>
      <c r="AF10" s="6"/>
    </row>
    <row r="11" spans="1:39" ht="14.45">
      <c r="A11" t="s">
        <v>39</v>
      </c>
      <c r="B11" s="12">
        <v>41594</v>
      </c>
      <c r="C11" s="14">
        <v>0.48958333333333331</v>
      </c>
      <c r="D11">
        <v>180.3</v>
      </c>
      <c r="E11">
        <v>79.2</v>
      </c>
      <c r="G11" s="6">
        <v>74.164392719999995</v>
      </c>
      <c r="H11" s="6">
        <v>5.0356072799999998</v>
      </c>
      <c r="I11">
        <v>112</v>
      </c>
      <c r="J11">
        <v>93</v>
      </c>
      <c r="K11">
        <v>29.8</v>
      </c>
      <c r="M11">
        <v>94.5</v>
      </c>
      <c r="N11">
        <v>56.8</v>
      </c>
      <c r="O11" s="6">
        <v>169.78599999999994</v>
      </c>
      <c r="P11" s="6"/>
      <c r="Q11">
        <v>39.200000000000003</v>
      </c>
      <c r="R11">
        <v>5.6</v>
      </c>
      <c r="S11">
        <v>6.5</v>
      </c>
      <c r="T11">
        <v>2.8</v>
      </c>
      <c r="U11">
        <v>7.4</v>
      </c>
      <c r="V11">
        <v>4.9000000000000004</v>
      </c>
      <c r="W11">
        <v>7.4</v>
      </c>
      <c r="X11">
        <v>7.2</v>
      </c>
      <c r="Y11">
        <v>4.3</v>
      </c>
      <c r="Z11" s="6">
        <v>46.099999999999994</v>
      </c>
      <c r="AA11" s="6">
        <v>6.3580899999999998</v>
      </c>
      <c r="AB11" s="6">
        <f>Anthropometry[[#This Row],[Upper arm girth - R]]-(PI()*(Anthropometry[[#This Row],[Triceps]]/10))</f>
        <v>28.040708113989716</v>
      </c>
      <c r="AC11" s="6">
        <f>Anthropometry[[#This Row],[Mid-thighs]]-PI()*(Anthropometry[[#This Row],[Thigh]]/10)</f>
        <v>54.538053289415345</v>
      </c>
      <c r="AD11" s="6">
        <f>Anthropometry[[#This Row],[Mid-calf]]-PI()*(Anthropometry[[#This Row],[Calf]]/10)</f>
        <v>37.849115158956394</v>
      </c>
      <c r="AE11" s="6"/>
      <c r="AF11" s="6"/>
    </row>
    <row r="12" spans="1:39" ht="14.45">
      <c r="A12" t="s">
        <v>40</v>
      </c>
      <c r="B12" s="12">
        <v>41594</v>
      </c>
      <c r="C12" s="14">
        <v>0.47916666666666669</v>
      </c>
      <c r="D12" s="6">
        <v>182.1</v>
      </c>
      <c r="E12">
        <v>83.8</v>
      </c>
      <c r="G12" s="6">
        <v>77.784944940000003</v>
      </c>
      <c r="H12" s="6">
        <v>6.0150550600000008</v>
      </c>
      <c r="I12">
        <v>120</v>
      </c>
      <c r="J12">
        <v>96.2</v>
      </c>
      <c r="K12">
        <v>31.2</v>
      </c>
      <c r="M12">
        <v>99.5</v>
      </c>
      <c r="N12">
        <v>57.2</v>
      </c>
      <c r="O12" s="6">
        <v>175.00199999999995</v>
      </c>
      <c r="Q12">
        <v>35</v>
      </c>
      <c r="R12">
        <v>5.6</v>
      </c>
      <c r="S12">
        <v>9.8000000000000007</v>
      </c>
      <c r="T12">
        <v>2.6</v>
      </c>
      <c r="U12">
        <v>8.8000000000000007</v>
      </c>
      <c r="V12">
        <v>5.2</v>
      </c>
      <c r="W12">
        <v>13.3</v>
      </c>
      <c r="X12">
        <v>5.6</v>
      </c>
      <c r="Y12">
        <v>4.2</v>
      </c>
      <c r="Z12">
        <v>55.1</v>
      </c>
      <c r="AA12" s="6">
        <v>7.1778700000000013</v>
      </c>
      <c r="AB12" s="6">
        <f>Anthropometry[[#This Row],[Upper arm girth - R]]-(PI()*(Anthropometry[[#This Row],[Triceps]]/10))</f>
        <v>29.440708113989714</v>
      </c>
      <c r="AC12" s="6">
        <f>Anthropometry[[#This Row],[Mid-thighs]]-PI()*(Anthropometry[[#This Row],[Thigh]]/10)</f>
        <v>55.440708113989722</v>
      </c>
      <c r="AD12" s="6">
        <f>Anthropometry[[#This Row],[Mid-calf]]-PI()*(Anthropometry[[#This Row],[Calf]]/10)</f>
        <v>33.680531085492284</v>
      </c>
      <c r="AE12" s="6"/>
      <c r="AF12" s="6"/>
    </row>
    <row r="13" spans="1:39" ht="14.45">
      <c r="A13" t="s">
        <v>39</v>
      </c>
      <c r="B13" s="12">
        <v>41647</v>
      </c>
      <c r="C13" s="14">
        <v>0.41666666666666669</v>
      </c>
      <c r="D13">
        <v>180.3</v>
      </c>
      <c r="E13">
        <v>78.2</v>
      </c>
      <c r="G13" s="6">
        <v>73.186879520000005</v>
      </c>
      <c r="H13" s="6">
        <v>5.0131204800000004</v>
      </c>
      <c r="I13">
        <v>113.7</v>
      </c>
      <c r="J13">
        <v>94.5</v>
      </c>
      <c r="K13">
        <v>29.5</v>
      </c>
      <c r="M13">
        <v>94.5</v>
      </c>
      <c r="N13">
        <v>58</v>
      </c>
      <c r="O13" s="6">
        <v>176.65600000000001</v>
      </c>
      <c r="P13" s="6"/>
      <c r="Q13">
        <v>39.1</v>
      </c>
      <c r="R13">
        <v>5.6</v>
      </c>
      <c r="S13">
        <v>7</v>
      </c>
      <c r="T13">
        <v>3</v>
      </c>
      <c r="U13">
        <v>7.8</v>
      </c>
      <c r="V13">
        <v>5.2</v>
      </c>
      <c r="W13">
        <v>7.8</v>
      </c>
      <c r="X13">
        <v>6.6</v>
      </c>
      <c r="Y13">
        <v>4.2</v>
      </c>
      <c r="Z13" s="6">
        <v>47.2</v>
      </c>
      <c r="AA13" s="6">
        <v>6.4106400000000008</v>
      </c>
      <c r="AB13" s="6">
        <f>Anthropometry[[#This Row],[Upper arm girth - R]]-(PI()*(Anthropometry[[#This Row],[Triceps]]/10))</f>
        <v>27.740708113989715</v>
      </c>
      <c r="AC13" s="6">
        <f>Anthropometry[[#This Row],[Mid-thighs]]-PI()*(Anthropometry[[#This Row],[Thigh]]/10)</f>
        <v>55.926548848630738</v>
      </c>
      <c r="AD13" s="6">
        <f>Anthropometry[[#This Row],[Mid-calf]]-PI()*(Anthropometry[[#This Row],[Calf]]/10)</f>
        <v>37.780531085492285</v>
      </c>
      <c r="AE13" s="6"/>
      <c r="AF13" s="6"/>
    </row>
    <row r="14" spans="1:39" ht="14.45">
      <c r="A14" t="s">
        <v>39</v>
      </c>
      <c r="B14" s="12">
        <v>41673</v>
      </c>
      <c r="C14" s="14">
        <v>0.5</v>
      </c>
      <c r="D14">
        <v>180.3</v>
      </c>
      <c r="E14">
        <v>80</v>
      </c>
      <c r="G14" s="6">
        <v>74.905119999999997</v>
      </c>
      <c r="H14" s="6">
        <v>5.0948799999999999</v>
      </c>
      <c r="I14">
        <v>112.7</v>
      </c>
      <c r="J14">
        <v>94.2</v>
      </c>
      <c r="K14">
        <v>30</v>
      </c>
      <c r="M14">
        <v>97</v>
      </c>
      <c r="N14">
        <v>58.2</v>
      </c>
      <c r="O14" s="6">
        <v>177.80099999999999</v>
      </c>
      <c r="P14" s="6"/>
      <c r="Q14">
        <v>39.6</v>
      </c>
      <c r="R14">
        <v>5</v>
      </c>
      <c r="S14">
        <v>7.1</v>
      </c>
      <c r="T14">
        <v>2.6</v>
      </c>
      <c r="U14">
        <v>7.5</v>
      </c>
      <c r="V14">
        <v>5</v>
      </c>
      <c r="W14">
        <v>7.8</v>
      </c>
      <c r="X14">
        <v>6.5</v>
      </c>
      <c r="Y14">
        <v>4.5999999999999996</v>
      </c>
      <c r="Z14" s="6">
        <v>46.1</v>
      </c>
      <c r="AA14" s="6">
        <v>6.3685999999999998</v>
      </c>
      <c r="AB14" s="6">
        <f>Anthropometry[[#This Row],[Upper arm girth - R]]-(PI()*(Anthropometry[[#This Row],[Triceps]]/10))</f>
        <v>28.429203673205102</v>
      </c>
      <c r="AC14" s="6">
        <f>Anthropometry[[#This Row],[Mid-thighs]]-PI()*(Anthropometry[[#This Row],[Thigh]]/10)</f>
        <v>56.15796477516664</v>
      </c>
      <c r="AD14" s="6">
        <f>Anthropometry[[#This Row],[Mid-calf]]-PI()*(Anthropometry[[#This Row],[Calf]]/10)</f>
        <v>38.154867379348694</v>
      </c>
      <c r="AE14" s="6"/>
      <c r="AF14" s="6"/>
    </row>
    <row r="15" spans="1:39" ht="14.45">
      <c r="A15" t="s">
        <v>40</v>
      </c>
      <c r="B15" s="12">
        <v>41700</v>
      </c>
      <c r="C15" s="14">
        <v>0.5</v>
      </c>
      <c r="D15" s="6">
        <v>182.1</v>
      </c>
      <c r="E15">
        <v>82.8</v>
      </c>
      <c r="G15" s="6">
        <v>77.413669560000002</v>
      </c>
      <c r="H15" s="6">
        <v>5.3863304399999992</v>
      </c>
      <c r="I15">
        <v>119.6</v>
      </c>
      <c r="J15">
        <v>97</v>
      </c>
      <c r="K15">
        <v>31.2</v>
      </c>
      <c r="M15">
        <v>99.6</v>
      </c>
      <c r="N15">
        <v>57.6</v>
      </c>
      <c r="O15" s="6">
        <v>176.87399999999997</v>
      </c>
      <c r="Q15">
        <v>35.299999999999997</v>
      </c>
      <c r="R15">
        <v>4.8</v>
      </c>
      <c r="S15">
        <v>9.1999999999999993</v>
      </c>
      <c r="T15">
        <v>2.6</v>
      </c>
      <c r="U15">
        <v>5.2</v>
      </c>
      <c r="V15">
        <v>4.3</v>
      </c>
      <c r="W15">
        <v>9.6</v>
      </c>
      <c r="X15">
        <v>5.6</v>
      </c>
      <c r="Y15">
        <v>3.8</v>
      </c>
      <c r="Z15">
        <v>45.1</v>
      </c>
      <c r="AA15" s="6">
        <v>6.5052299999999992</v>
      </c>
      <c r="AB15" s="6">
        <f>Anthropometry[[#This Row],[Upper arm girth - R]]-(PI()*(Anthropometry[[#This Row],[Triceps]]/10))</f>
        <v>29.6920355262769</v>
      </c>
      <c r="AC15" s="6">
        <f>Anthropometry[[#This Row],[Mid-thighs]]-PI()*(Anthropometry[[#This Row],[Thigh]]/10)</f>
        <v>55.84070811398972</v>
      </c>
      <c r="AD15" s="6">
        <f>Anthropometry[[#This Row],[Mid-calf]]-PI()*(Anthropometry[[#This Row],[Calf]]/10)</f>
        <v>34.106194791635879</v>
      </c>
      <c r="AE15" s="6"/>
      <c r="AF15" s="6"/>
    </row>
    <row r="16" spans="1:39" ht="14.45">
      <c r="A16" t="s">
        <v>39</v>
      </c>
      <c r="B16" s="12">
        <v>41712</v>
      </c>
      <c r="C16" s="14">
        <v>0.41666666666666669</v>
      </c>
      <c r="D16">
        <v>180.3</v>
      </c>
      <c r="E16">
        <v>80.8</v>
      </c>
      <c r="G16" s="6">
        <v>75.272027600000001</v>
      </c>
      <c r="H16" s="6">
        <v>5.5279723999999995</v>
      </c>
      <c r="I16">
        <v>114.7</v>
      </c>
      <c r="J16">
        <v>95.4</v>
      </c>
      <c r="K16">
        <v>30.7</v>
      </c>
      <c r="M16">
        <v>97.1</v>
      </c>
      <c r="N16">
        <v>57.7</v>
      </c>
      <c r="O16" s="6">
        <v>173.16200000000003</v>
      </c>
      <c r="P16" s="6"/>
      <c r="Q16">
        <v>39.299999999999997</v>
      </c>
      <c r="R16">
        <v>6.2</v>
      </c>
      <c r="S16">
        <v>7.2</v>
      </c>
      <c r="T16">
        <v>2.8</v>
      </c>
      <c r="U16">
        <v>8.6999999999999993</v>
      </c>
      <c r="V16">
        <v>5.6</v>
      </c>
      <c r="W16">
        <v>9.4</v>
      </c>
      <c r="X16">
        <v>7.6</v>
      </c>
      <c r="Y16">
        <v>4.5</v>
      </c>
      <c r="Z16" s="6">
        <v>52</v>
      </c>
      <c r="AA16" s="6">
        <v>6.8415499999999998</v>
      </c>
      <c r="AB16" s="6">
        <f>Anthropometry[[#This Row],[Upper arm girth - R]]-(PI()*(Anthropometry[[#This Row],[Triceps]]/10))</f>
        <v>28.752212554774328</v>
      </c>
      <c r="AC16" s="6">
        <f>Anthropometry[[#This Row],[Mid-thighs]]-PI()*(Anthropometry[[#This Row],[Thigh]]/10)</f>
        <v>55.312389583271759</v>
      </c>
      <c r="AD16" s="6">
        <f>Anthropometry[[#This Row],[Mid-calf]]-PI()*(Anthropometry[[#This Row],[Calf]]/10)</f>
        <v>37.886283305884589</v>
      </c>
      <c r="AE16" s="6"/>
      <c r="AF16" s="6"/>
    </row>
    <row r="17" spans="1:32" ht="14.45">
      <c r="A17" t="s">
        <v>40</v>
      </c>
      <c r="B17" s="12">
        <v>41736</v>
      </c>
      <c r="C17" s="14">
        <v>0.45833333333333331</v>
      </c>
      <c r="D17" s="6">
        <v>182.1</v>
      </c>
      <c r="E17">
        <v>83</v>
      </c>
      <c r="G17" s="6">
        <v>77.434916399999992</v>
      </c>
      <c r="H17" s="6">
        <v>5.5650836000000004</v>
      </c>
      <c r="I17">
        <v>119</v>
      </c>
      <c r="J17">
        <v>96</v>
      </c>
      <c r="K17">
        <v>31.3</v>
      </c>
      <c r="M17">
        <v>104.1</v>
      </c>
      <c r="N17">
        <v>57.2</v>
      </c>
      <c r="O17" s="6">
        <v>175.21099999999996</v>
      </c>
      <c r="Q17">
        <v>35.200000000000003</v>
      </c>
      <c r="R17">
        <v>5.4</v>
      </c>
      <c r="S17">
        <v>8.8000000000000007</v>
      </c>
      <c r="T17">
        <v>2.6</v>
      </c>
      <c r="U17">
        <v>8.5</v>
      </c>
      <c r="V17">
        <v>5.5</v>
      </c>
      <c r="W17">
        <v>9.8000000000000007</v>
      </c>
      <c r="X17">
        <v>5.5</v>
      </c>
      <c r="Y17">
        <v>4.2</v>
      </c>
      <c r="Z17">
        <v>50.300000000000004</v>
      </c>
      <c r="AA17" s="6">
        <v>6.7049200000000004</v>
      </c>
      <c r="AB17" s="6">
        <f>Anthropometry[[#This Row],[Upper arm girth - R]]-(PI()*(Anthropometry[[#This Row],[Triceps]]/10))</f>
        <v>29.603539967061511</v>
      </c>
      <c r="AC17" s="6">
        <f>Anthropometry[[#This Row],[Mid-thighs]]-PI()*(Anthropometry[[#This Row],[Thigh]]/10)</f>
        <v>55.472124040525614</v>
      </c>
      <c r="AD17" s="6">
        <f>Anthropometry[[#This Row],[Mid-calf]]-PI()*(Anthropometry[[#This Row],[Calf]]/10)</f>
        <v>33.880531085492287</v>
      </c>
      <c r="AE17" s="6"/>
      <c r="AF17" s="6"/>
    </row>
    <row r="18" spans="1:32" ht="14.45">
      <c r="A18" t="s">
        <v>39</v>
      </c>
      <c r="B18" s="12">
        <v>41767</v>
      </c>
      <c r="C18" s="14">
        <v>0.5625</v>
      </c>
      <c r="D18">
        <v>180.3</v>
      </c>
      <c r="E18">
        <v>82.3</v>
      </c>
      <c r="G18" s="6">
        <v>76.539658399999993</v>
      </c>
      <c r="H18" s="6">
        <v>5.7603415999999994</v>
      </c>
      <c r="I18">
        <v>115.5</v>
      </c>
      <c r="J18">
        <v>95.5</v>
      </c>
      <c r="K18">
        <v>30.9</v>
      </c>
      <c r="M18">
        <v>97.8</v>
      </c>
      <c r="N18">
        <v>59.1</v>
      </c>
      <c r="O18" s="6">
        <v>178.04199999999997</v>
      </c>
      <c r="P18" s="6"/>
      <c r="Q18">
        <v>39.700000000000003</v>
      </c>
      <c r="R18">
        <v>5.2</v>
      </c>
      <c r="S18">
        <v>6.6</v>
      </c>
      <c r="T18">
        <v>3.3</v>
      </c>
      <c r="U18">
        <v>11.2</v>
      </c>
      <c r="V18">
        <v>6.6</v>
      </c>
      <c r="W18">
        <v>10.6</v>
      </c>
      <c r="X18">
        <v>8.4</v>
      </c>
      <c r="Y18">
        <v>4.5999999999999996</v>
      </c>
      <c r="Z18" s="6">
        <v>56.5</v>
      </c>
      <c r="AA18" s="6">
        <v>6.9992000000000001</v>
      </c>
      <c r="AB18" s="6">
        <f>Anthropometry[[#This Row],[Upper arm girth - R]]-(PI()*(Anthropometry[[#This Row],[Triceps]]/10))</f>
        <v>29.266371820133305</v>
      </c>
      <c r="AC18" s="6">
        <f>Anthropometry[[#This Row],[Mid-thighs]]-PI()*(Anthropometry[[#This Row],[Thigh]]/10)</f>
        <v>56.461062170984576</v>
      </c>
      <c r="AD18" s="6">
        <f>Anthropometry[[#This Row],[Mid-calf]]-PI()*(Anthropometry[[#This Row],[Calf]]/10)</f>
        <v>38.254867379348696</v>
      </c>
      <c r="AE18" s="6"/>
      <c r="AF18" s="6"/>
    </row>
    <row r="19" spans="1:32" ht="14.45">
      <c r="A19" t="s">
        <v>39</v>
      </c>
      <c r="B19" s="12">
        <v>41781</v>
      </c>
      <c r="C19" s="14">
        <v>0.4375</v>
      </c>
      <c r="D19">
        <v>180.3</v>
      </c>
      <c r="E19">
        <v>82.8</v>
      </c>
      <c r="G19" s="6">
        <v>76.995960119999992</v>
      </c>
      <c r="H19" s="6">
        <v>5.8040398799999995</v>
      </c>
      <c r="I19">
        <v>116</v>
      </c>
      <c r="J19">
        <v>96.8</v>
      </c>
      <c r="K19">
        <v>31.5</v>
      </c>
      <c r="M19">
        <v>98.2</v>
      </c>
      <c r="N19">
        <v>59</v>
      </c>
      <c r="O19" s="6">
        <v>180.08199999999999</v>
      </c>
      <c r="P19" s="6"/>
      <c r="Q19">
        <v>39.799999999999997</v>
      </c>
      <c r="R19">
        <v>6.6</v>
      </c>
      <c r="S19">
        <v>7.7</v>
      </c>
      <c r="T19">
        <v>3.3</v>
      </c>
      <c r="U19">
        <v>11.6</v>
      </c>
      <c r="V19">
        <v>6.1</v>
      </c>
      <c r="W19">
        <v>10</v>
      </c>
      <c r="X19">
        <v>7.2</v>
      </c>
      <c r="Y19">
        <v>4.5</v>
      </c>
      <c r="Z19" s="6">
        <v>57.000000000000007</v>
      </c>
      <c r="AA19" s="6">
        <v>7.0097100000000001</v>
      </c>
      <c r="AB19" s="6">
        <f>Anthropometry[[#This Row],[Upper arm girth - R]]-(PI()*(Anthropometry[[#This Row],[Triceps]]/10))</f>
        <v>29.426548848630738</v>
      </c>
      <c r="AC19" s="6">
        <f>Anthropometry[[#This Row],[Mid-thighs]]-PI()*(Anthropometry[[#This Row],[Thigh]]/10)</f>
        <v>56.738053289415348</v>
      </c>
      <c r="AD19" s="6">
        <f>Anthropometry[[#This Row],[Mid-calf]]-PI()*(Anthropometry[[#This Row],[Calf]]/10)</f>
        <v>38.386283305884589</v>
      </c>
      <c r="AE19" s="6"/>
      <c r="AF19" s="6"/>
    </row>
    <row r="20" spans="1:32" ht="14.45">
      <c r="A20" t="s">
        <v>40</v>
      </c>
      <c r="B20" s="12">
        <v>41781</v>
      </c>
      <c r="C20" s="14">
        <v>0.5</v>
      </c>
      <c r="D20" s="6">
        <v>182.1</v>
      </c>
      <c r="E20">
        <v>84.2</v>
      </c>
      <c r="G20" s="6">
        <v>78.191631140000013</v>
      </c>
      <c r="H20" s="6">
        <v>6.0083688600000018</v>
      </c>
      <c r="I20">
        <v>121</v>
      </c>
      <c r="J20">
        <v>97</v>
      </c>
      <c r="K20">
        <v>32</v>
      </c>
      <c r="M20">
        <v>102.5</v>
      </c>
      <c r="N20">
        <v>58.5</v>
      </c>
      <c r="O20" s="6">
        <v>180.87699999999995</v>
      </c>
      <c r="Q20">
        <v>35.200000000000003</v>
      </c>
      <c r="R20">
        <v>6.2</v>
      </c>
      <c r="S20">
        <v>9.9</v>
      </c>
      <c r="T20">
        <v>2.6</v>
      </c>
      <c r="U20">
        <v>8.8000000000000007</v>
      </c>
      <c r="V20">
        <v>5.8</v>
      </c>
      <c r="W20">
        <v>11.5</v>
      </c>
      <c r="X20">
        <v>5.7</v>
      </c>
      <c r="Y20">
        <v>4.2</v>
      </c>
      <c r="Z20">
        <v>54.70000000000001</v>
      </c>
      <c r="AA20" s="6">
        <v>7.1358300000000012</v>
      </c>
      <c r="AB20" s="6">
        <f>Anthropometry[[#This Row],[Upper arm girth - R]]-(PI()*(Anthropometry[[#This Row],[Triceps]]/10))</f>
        <v>30.052212554774329</v>
      </c>
      <c r="AC20" s="6">
        <f>Anthropometry[[#This Row],[Mid-thighs]]-PI()*(Anthropometry[[#This Row],[Thigh]]/10)</f>
        <v>56.709292187453819</v>
      </c>
      <c r="AD20" s="6">
        <f>Anthropometry[[#This Row],[Mid-calf]]-PI()*(Anthropometry[[#This Row],[Calf]]/10)</f>
        <v>33.880531085492287</v>
      </c>
      <c r="AE20" s="6"/>
      <c r="AF20" s="6"/>
    </row>
    <row r="21" spans="1:32" ht="14.45">
      <c r="A21" t="s">
        <v>39</v>
      </c>
      <c r="B21" s="12">
        <v>41824</v>
      </c>
      <c r="C21" s="14">
        <v>0.44791666666666669</v>
      </c>
      <c r="D21">
        <v>180.3</v>
      </c>
      <c r="E21">
        <v>82</v>
      </c>
      <c r="G21" s="6">
        <v>76.1400012</v>
      </c>
      <c r="H21" s="6">
        <v>5.8599987999999996</v>
      </c>
      <c r="I21">
        <v>114.5</v>
      </c>
      <c r="J21">
        <v>94.2</v>
      </c>
      <c r="K21">
        <v>30.5</v>
      </c>
      <c r="M21">
        <v>99</v>
      </c>
      <c r="N21">
        <v>58.5</v>
      </c>
      <c r="O21" s="6">
        <v>177.11499999999995</v>
      </c>
      <c r="P21" s="6"/>
      <c r="Q21">
        <v>39.5</v>
      </c>
      <c r="R21">
        <v>6.4</v>
      </c>
      <c r="S21">
        <v>7.4</v>
      </c>
      <c r="T21">
        <v>3.2</v>
      </c>
      <c r="U21">
        <v>9.8000000000000007</v>
      </c>
      <c r="V21">
        <v>6.5</v>
      </c>
      <c r="W21">
        <v>11</v>
      </c>
      <c r="X21">
        <v>7.5</v>
      </c>
      <c r="Y21">
        <v>4.5999999999999996</v>
      </c>
      <c r="Z21" s="6">
        <v>56.4</v>
      </c>
      <c r="AA21" s="6">
        <v>7.1463399999999995</v>
      </c>
      <c r="AB21" s="6">
        <f>Anthropometry[[#This Row],[Upper arm girth - R]]-(PI()*(Anthropometry[[#This Row],[Triceps]]/10))</f>
        <v>28.489380701702533</v>
      </c>
      <c r="AC21" s="6">
        <f>Anthropometry[[#This Row],[Mid-thighs]]-PI()*(Anthropometry[[#This Row],[Thigh]]/10)</f>
        <v>56.143805509807656</v>
      </c>
      <c r="AD21" s="6">
        <f>Anthropometry[[#This Row],[Mid-calf]]-PI()*(Anthropometry[[#This Row],[Calf]]/10)</f>
        <v>38.054867379348693</v>
      </c>
      <c r="AE21" s="6"/>
      <c r="AF21" s="6"/>
    </row>
    <row r="22" spans="1:32" ht="14.45">
      <c r="A22" t="s">
        <v>39</v>
      </c>
      <c r="B22" s="12">
        <v>41836</v>
      </c>
      <c r="C22" s="14">
        <v>0.34375</v>
      </c>
      <c r="D22">
        <v>180.3</v>
      </c>
      <c r="E22">
        <v>83</v>
      </c>
      <c r="G22" s="6">
        <v>77.068537800000001</v>
      </c>
      <c r="H22" s="6">
        <v>5.9314621999999995</v>
      </c>
      <c r="I22">
        <v>115.5</v>
      </c>
      <c r="J22">
        <v>95.8</v>
      </c>
      <c r="K22">
        <v>31.5</v>
      </c>
      <c r="M22">
        <v>98.2</v>
      </c>
      <c r="N22">
        <v>58.5</v>
      </c>
      <c r="O22" s="6">
        <v>174.81599999999997</v>
      </c>
      <c r="P22" s="6"/>
      <c r="Q22">
        <v>39.700000000000003</v>
      </c>
      <c r="R22">
        <v>6</v>
      </c>
      <c r="S22">
        <v>7.6</v>
      </c>
      <c r="T22">
        <v>3.4</v>
      </c>
      <c r="U22">
        <v>11</v>
      </c>
      <c r="V22">
        <v>6.2</v>
      </c>
      <c r="W22">
        <v>10.199999999999999</v>
      </c>
      <c r="X22">
        <v>8.6</v>
      </c>
      <c r="Y22">
        <v>4.8</v>
      </c>
      <c r="Z22" s="6">
        <v>57.800000000000004</v>
      </c>
      <c r="AA22" s="6">
        <v>7.1463399999999995</v>
      </c>
      <c r="AB22" s="6">
        <f>Anthropometry[[#This Row],[Upper arm girth - R]]-(PI()*(Anthropometry[[#This Row],[Triceps]]/10))</f>
        <v>29.615044407846124</v>
      </c>
      <c r="AC22" s="6">
        <f>Anthropometry[[#This Row],[Mid-thighs]]-PI()*(Anthropometry[[#This Row],[Thigh]]/10)</f>
        <v>55.798230317912775</v>
      </c>
      <c r="AD22" s="6">
        <f>Anthropometry[[#This Row],[Mid-calf]]-PI()*(Anthropometry[[#This Row],[Calf]]/10)</f>
        <v>38.192035526276904</v>
      </c>
      <c r="AE22" s="6"/>
      <c r="AF22" s="6"/>
    </row>
    <row r="23" spans="1:32" ht="14.45">
      <c r="A23" t="s">
        <v>40</v>
      </c>
      <c r="B23" s="12">
        <v>41836</v>
      </c>
      <c r="C23" s="14">
        <v>0.33680555555555558</v>
      </c>
      <c r="D23" s="6">
        <v>182.1</v>
      </c>
      <c r="E23">
        <v>83.5</v>
      </c>
      <c r="G23" s="6">
        <v>77.831184999999991</v>
      </c>
      <c r="H23" s="6">
        <v>5.6688149999999995</v>
      </c>
      <c r="I23">
        <v>119.9</v>
      </c>
      <c r="J23">
        <v>96.5</v>
      </c>
      <c r="K23">
        <v>30.8</v>
      </c>
      <c r="M23">
        <v>101</v>
      </c>
      <c r="N23">
        <v>56.5</v>
      </c>
      <c r="O23" s="6">
        <v>171.72599999999994</v>
      </c>
      <c r="Q23">
        <v>35</v>
      </c>
      <c r="R23">
        <v>5.2</v>
      </c>
      <c r="S23">
        <v>9.8000000000000007</v>
      </c>
      <c r="T23">
        <v>2.8</v>
      </c>
      <c r="U23">
        <v>6.3</v>
      </c>
      <c r="V23">
        <v>5</v>
      </c>
      <c r="W23">
        <v>9.9</v>
      </c>
      <c r="X23">
        <v>5.6</v>
      </c>
      <c r="Y23">
        <v>4.5</v>
      </c>
      <c r="Z23">
        <v>49.1</v>
      </c>
      <c r="AA23" s="6">
        <v>6.7889999999999997</v>
      </c>
      <c r="AB23" s="6">
        <f>Anthropometry[[#This Row],[Upper arm girth - R]]-(PI()*(Anthropometry[[#This Row],[Triceps]]/10))</f>
        <v>29.166371820133307</v>
      </c>
      <c r="AC23" s="6">
        <f>Anthropometry[[#This Row],[Mid-thighs]]-PI()*(Anthropometry[[#This Row],[Thigh]]/10)</f>
        <v>54.740708113989719</v>
      </c>
      <c r="AD23" s="6">
        <f>Anthropometry[[#This Row],[Mid-calf]]-PI()*(Anthropometry[[#This Row],[Calf]]/10)</f>
        <v>33.586283305884592</v>
      </c>
      <c r="AE23" s="6"/>
      <c r="AF23" s="6"/>
    </row>
    <row r="24" spans="1:32" ht="14.45">
      <c r="A24" t="s">
        <v>40</v>
      </c>
      <c r="B24" s="12">
        <v>41856</v>
      </c>
      <c r="C24" s="14">
        <v>0.53125</v>
      </c>
      <c r="D24" s="6">
        <v>182.1</v>
      </c>
      <c r="E24">
        <v>83.5</v>
      </c>
      <c r="G24" s="6">
        <v>77.603012899999996</v>
      </c>
      <c r="H24" s="6">
        <v>5.8969871000000005</v>
      </c>
      <c r="I24">
        <v>120.5</v>
      </c>
      <c r="J24">
        <v>97.4</v>
      </c>
      <c r="K24">
        <v>31.7</v>
      </c>
      <c r="M24">
        <v>102</v>
      </c>
      <c r="N24">
        <v>58</v>
      </c>
      <c r="O24" s="6">
        <v>177.49199999999996</v>
      </c>
      <c r="Q24">
        <v>35.200000000000003</v>
      </c>
      <c r="R24">
        <v>5.2</v>
      </c>
      <c r="S24">
        <v>9.8000000000000007</v>
      </c>
      <c r="T24">
        <v>2.8</v>
      </c>
      <c r="U24">
        <v>7</v>
      </c>
      <c r="V24">
        <v>4.9000000000000004</v>
      </c>
      <c r="W24">
        <v>12.3</v>
      </c>
      <c r="X24">
        <v>6.2</v>
      </c>
      <c r="Y24">
        <v>4.2</v>
      </c>
      <c r="Z24">
        <v>52.400000000000006</v>
      </c>
      <c r="AA24" s="6">
        <v>7.0622600000000011</v>
      </c>
      <c r="AB24" s="6">
        <f>Anthropometry[[#This Row],[Upper arm girth - R]]-(PI()*(Anthropometry[[#This Row],[Triceps]]/10))</f>
        <v>30.066371820133305</v>
      </c>
      <c r="AC24" s="6">
        <f>Anthropometry[[#This Row],[Mid-thighs]]-PI()*(Anthropometry[[#This Row],[Thigh]]/10)</f>
        <v>56.052212554774329</v>
      </c>
      <c r="AD24" s="6">
        <f>Anthropometry[[#This Row],[Mid-calf]]-PI()*(Anthropometry[[#This Row],[Calf]]/10)</f>
        <v>33.880531085492287</v>
      </c>
      <c r="AE24" s="6"/>
      <c r="AF24" s="6"/>
    </row>
    <row r="25" spans="1:32" ht="14.45">
      <c r="A25" t="s">
        <v>39</v>
      </c>
      <c r="B25" s="12">
        <v>41876</v>
      </c>
      <c r="C25" s="14">
        <v>0.54166666666666663</v>
      </c>
      <c r="D25">
        <v>180.3</v>
      </c>
      <c r="E25">
        <v>82.1</v>
      </c>
      <c r="G25" s="6">
        <v>75.482157090000001</v>
      </c>
      <c r="H25" s="6">
        <v>6.6178429100000002</v>
      </c>
      <c r="I25">
        <v>114.2</v>
      </c>
      <c r="J25">
        <v>95</v>
      </c>
      <c r="K25">
        <v>30.4</v>
      </c>
      <c r="M25">
        <v>98</v>
      </c>
      <c r="N25">
        <v>58</v>
      </c>
      <c r="O25" s="6">
        <v>170.38600000000002</v>
      </c>
      <c r="P25" s="6"/>
      <c r="Q25">
        <v>39.4</v>
      </c>
      <c r="R25">
        <v>6.6</v>
      </c>
      <c r="S25">
        <v>8.1999999999999993</v>
      </c>
      <c r="T25">
        <v>3.4</v>
      </c>
      <c r="U25">
        <v>15</v>
      </c>
      <c r="V25">
        <v>8.1</v>
      </c>
      <c r="W25">
        <v>14</v>
      </c>
      <c r="X25">
        <v>9.6</v>
      </c>
      <c r="Y25">
        <v>5.6</v>
      </c>
      <c r="Z25" s="6">
        <v>70.5</v>
      </c>
      <c r="AA25" s="6">
        <v>8.0607100000000003</v>
      </c>
      <c r="AB25" s="6">
        <f>Anthropometry[[#This Row],[Upper arm girth - R]]-(PI()*(Anthropometry[[#This Row],[Triceps]]/10))</f>
        <v>28.326548848630736</v>
      </c>
      <c r="AC25" s="6">
        <f>Anthropometry[[#This Row],[Mid-thighs]]-PI()*(Anthropometry[[#This Row],[Thigh]]/10)</f>
        <v>54.984071052553801</v>
      </c>
      <c r="AD25" s="6">
        <f>Anthropometry[[#This Row],[Mid-calf]]-PI()*(Anthropometry[[#This Row],[Calf]]/10)</f>
        <v>37.640708113989717</v>
      </c>
      <c r="AE25" s="6"/>
      <c r="AF25" s="6"/>
    </row>
    <row r="26" spans="1:32" ht="14.45">
      <c r="A26" t="s">
        <v>40</v>
      </c>
      <c r="B26" s="12">
        <v>41877</v>
      </c>
      <c r="C26" s="14">
        <v>0.63055555555555554</v>
      </c>
      <c r="D26" s="6">
        <v>182.1</v>
      </c>
      <c r="E26">
        <v>83.1</v>
      </c>
      <c r="G26" s="6">
        <v>77.117722409999985</v>
      </c>
      <c r="H26" s="6">
        <v>5.9822775899999989</v>
      </c>
      <c r="I26">
        <v>118.1</v>
      </c>
      <c r="J26">
        <v>97.4</v>
      </c>
      <c r="K26">
        <v>31.3</v>
      </c>
      <c r="M26">
        <v>99.5</v>
      </c>
      <c r="N26">
        <v>57.8</v>
      </c>
      <c r="O26" s="6">
        <v>177.39199999999994</v>
      </c>
      <c r="Q26">
        <v>35.200000000000003</v>
      </c>
      <c r="R26">
        <v>5.3</v>
      </c>
      <c r="S26">
        <v>10.1</v>
      </c>
      <c r="T26">
        <v>2.8</v>
      </c>
      <c r="U26">
        <v>10</v>
      </c>
      <c r="V26">
        <v>5.6</v>
      </c>
      <c r="W26">
        <v>13.1</v>
      </c>
      <c r="X26">
        <v>5.8</v>
      </c>
      <c r="Y26">
        <v>4</v>
      </c>
      <c r="Z26">
        <v>56.699999999999996</v>
      </c>
      <c r="AA26" s="6">
        <v>7.1988899999999996</v>
      </c>
      <c r="AB26" s="6">
        <f>Anthropometry[[#This Row],[Upper arm girth - R]]-(PI()*(Anthropometry[[#This Row],[Triceps]]/10))</f>
        <v>29.634955893597411</v>
      </c>
      <c r="AC26" s="6">
        <f>Anthropometry[[#This Row],[Mid-thighs]]-PI()*(Anthropometry[[#This Row],[Thigh]]/10)</f>
        <v>55.977876260917917</v>
      </c>
      <c r="AD26" s="6">
        <f>Anthropometry[[#This Row],[Mid-calf]]-PI()*(Anthropometry[[#This Row],[Calf]]/10)</f>
        <v>33.943362938564086</v>
      </c>
      <c r="AE26" s="6"/>
      <c r="AF26" s="6"/>
    </row>
    <row r="27" spans="1:32" ht="14.45">
      <c r="A27" t="s">
        <v>39</v>
      </c>
      <c r="B27" s="12">
        <v>41907</v>
      </c>
      <c r="C27" s="14">
        <v>0.54166666666666663</v>
      </c>
      <c r="D27">
        <v>180.3</v>
      </c>
      <c r="E27">
        <v>83.6</v>
      </c>
      <c r="G27" s="6">
        <v>77.212700839999997</v>
      </c>
      <c r="H27" s="6">
        <v>6.3872991599999995</v>
      </c>
      <c r="J27">
        <v>95</v>
      </c>
      <c r="K27">
        <v>31.5</v>
      </c>
      <c r="M27">
        <v>97.5</v>
      </c>
      <c r="N27">
        <v>59.4</v>
      </c>
      <c r="O27" s="6">
        <v>179.86399999999998</v>
      </c>
      <c r="P27" s="6"/>
      <c r="Q27">
        <v>40</v>
      </c>
      <c r="R27">
        <v>6.6</v>
      </c>
      <c r="S27">
        <v>7.8</v>
      </c>
      <c r="T27">
        <v>3.4</v>
      </c>
      <c r="U27">
        <v>11.5</v>
      </c>
      <c r="V27">
        <v>7.8</v>
      </c>
      <c r="W27">
        <v>12.9</v>
      </c>
      <c r="X27">
        <v>8.1999999999999993</v>
      </c>
      <c r="Y27">
        <v>4.8</v>
      </c>
      <c r="Z27" s="6">
        <v>62.999999999999986</v>
      </c>
      <c r="AA27" s="6">
        <v>7.6403099999999995</v>
      </c>
      <c r="AB27" s="6">
        <f>Anthropometry[[#This Row],[Upper arm girth - R]]-(PI()*(Anthropometry[[#This Row],[Triceps]]/10))</f>
        <v>29.426548848630738</v>
      </c>
      <c r="AC27" s="6">
        <f>Anthropometry[[#This Row],[Mid-thighs]]-PI()*(Anthropometry[[#This Row],[Thigh]]/10)</f>
        <v>56.823894024056372</v>
      </c>
      <c r="AD27" s="6">
        <f>Anthropometry[[#This Row],[Mid-calf]]-PI()*(Anthropometry[[#This Row],[Calf]]/10)</f>
        <v>38.492035526276901</v>
      </c>
      <c r="AE27" s="6"/>
      <c r="AF27" s="6"/>
    </row>
    <row r="28" spans="1:32" ht="14.45">
      <c r="A28" t="s">
        <v>40</v>
      </c>
      <c r="B28" s="12">
        <v>41907</v>
      </c>
      <c r="C28" s="14">
        <v>0.5625</v>
      </c>
      <c r="D28" s="6">
        <v>182.1</v>
      </c>
      <c r="E28">
        <v>83.1</v>
      </c>
      <c r="G28" s="6">
        <v>77.126456219999994</v>
      </c>
      <c r="H28" s="6">
        <v>5.9735437799999991</v>
      </c>
      <c r="J28">
        <v>96</v>
      </c>
      <c r="K28">
        <v>31.5</v>
      </c>
      <c r="M28">
        <v>100.3</v>
      </c>
      <c r="N28">
        <v>58</v>
      </c>
      <c r="O28" s="6">
        <v>178.74599999999998</v>
      </c>
      <c r="Q28">
        <v>35</v>
      </c>
      <c r="R28">
        <v>5.5</v>
      </c>
      <c r="S28">
        <v>9.9</v>
      </c>
      <c r="T28">
        <v>2.8</v>
      </c>
      <c r="U28">
        <v>8.8000000000000007</v>
      </c>
      <c r="V28">
        <v>5.4</v>
      </c>
      <c r="W28">
        <v>13.1</v>
      </c>
      <c r="X28">
        <v>5.6</v>
      </c>
      <c r="Y28">
        <v>4.3</v>
      </c>
      <c r="Z28">
        <v>55.4</v>
      </c>
      <c r="AA28" s="6">
        <v>7.1883799999999995</v>
      </c>
      <c r="AB28" s="6">
        <f>Anthropometry[[#This Row],[Upper arm girth - R]]-(PI()*(Anthropometry[[#This Row],[Triceps]]/10))</f>
        <v>29.772124040525615</v>
      </c>
      <c r="AC28" s="6">
        <f>Anthropometry[[#This Row],[Mid-thighs]]-PI()*(Anthropometry[[#This Row],[Thigh]]/10)</f>
        <v>56.240708113989719</v>
      </c>
      <c r="AD28" s="6">
        <f>Anthropometry[[#This Row],[Mid-calf]]-PI()*(Anthropometry[[#This Row],[Calf]]/10)</f>
        <v>33.649115158956391</v>
      </c>
      <c r="AE28" s="6"/>
      <c r="AF28" s="6"/>
    </row>
    <row r="29" spans="1:32" ht="14.45">
      <c r="A29" t="s">
        <v>39</v>
      </c>
      <c r="B29" s="12">
        <v>41940</v>
      </c>
      <c r="C29" s="14">
        <v>0.54166666666666663</v>
      </c>
      <c r="D29">
        <v>180.3</v>
      </c>
      <c r="E29">
        <v>83.1</v>
      </c>
      <c r="G29" s="6">
        <v>76.908110969999996</v>
      </c>
      <c r="H29" s="6">
        <v>6.1918890299999996</v>
      </c>
      <c r="I29">
        <v>48.4</v>
      </c>
      <c r="J29">
        <v>93.5</v>
      </c>
      <c r="K29">
        <v>30.5</v>
      </c>
      <c r="M29">
        <v>98.5</v>
      </c>
      <c r="N29">
        <v>60.5</v>
      </c>
      <c r="O29" s="6">
        <v>184.38499999999999</v>
      </c>
      <c r="P29" s="6"/>
      <c r="Q29">
        <v>40</v>
      </c>
      <c r="R29">
        <v>6.6</v>
      </c>
      <c r="S29">
        <v>7.8</v>
      </c>
      <c r="T29">
        <v>3.4</v>
      </c>
      <c r="U29">
        <v>11.6</v>
      </c>
      <c r="V29">
        <v>7</v>
      </c>
      <c r="W29">
        <v>11.5</v>
      </c>
      <c r="X29">
        <v>8.5</v>
      </c>
      <c r="Y29">
        <v>4.9000000000000004</v>
      </c>
      <c r="Z29" s="6">
        <v>61.3</v>
      </c>
      <c r="AA29" s="6">
        <v>7.45113</v>
      </c>
      <c r="AB29" s="6">
        <f>Anthropometry[[#This Row],[Upper arm girth - R]]-(PI()*(Anthropometry[[#This Row],[Triceps]]/10))</f>
        <v>28.426548848630738</v>
      </c>
      <c r="AC29" s="6">
        <f>Anthropometry[[#This Row],[Mid-thighs]]-PI()*(Anthropometry[[#This Row],[Thigh]]/10)</f>
        <v>57.829646244448675</v>
      </c>
      <c r="AD29" s="6">
        <f>Anthropometry[[#This Row],[Mid-calf]]-PI()*(Anthropometry[[#This Row],[Calf]]/10)</f>
        <v>38.460619599741001</v>
      </c>
      <c r="AE29" s="6"/>
      <c r="AF29" s="6"/>
    </row>
    <row r="30" spans="1:32" ht="14.45">
      <c r="A30" t="s">
        <v>40</v>
      </c>
      <c r="B30" s="12">
        <v>41976</v>
      </c>
      <c r="C30" s="14">
        <v>0.40625</v>
      </c>
      <c r="D30" s="6">
        <v>182.1</v>
      </c>
      <c r="E30">
        <v>81.5</v>
      </c>
      <c r="G30" s="6">
        <v>76.052621500000001</v>
      </c>
      <c r="H30" s="6">
        <v>5.4473784999999992</v>
      </c>
      <c r="I30">
        <v>118.7</v>
      </c>
      <c r="J30">
        <v>92.9</v>
      </c>
      <c r="K30">
        <v>31.5</v>
      </c>
      <c r="M30">
        <v>99.8</v>
      </c>
      <c r="N30">
        <v>57.2</v>
      </c>
      <c r="O30" s="6">
        <v>175.21099999999996</v>
      </c>
      <c r="Q30">
        <v>35.5</v>
      </c>
      <c r="R30">
        <v>5.0999999999999996</v>
      </c>
      <c r="S30">
        <v>8.8000000000000007</v>
      </c>
      <c r="T30">
        <v>2.5</v>
      </c>
      <c r="U30">
        <v>7.3</v>
      </c>
      <c r="V30">
        <v>4.8</v>
      </c>
      <c r="W30">
        <v>10.7</v>
      </c>
      <c r="X30">
        <v>5.5</v>
      </c>
      <c r="Y30">
        <v>4.0999999999999996</v>
      </c>
      <c r="Z30">
        <v>48.800000000000004</v>
      </c>
      <c r="AA30" s="6">
        <v>6.6838999999999995</v>
      </c>
      <c r="AB30" s="6">
        <f>Anthropometry[[#This Row],[Upper arm girth - R]]-(PI()*(Anthropometry[[#This Row],[Triceps]]/10))</f>
        <v>29.897787746669206</v>
      </c>
      <c r="AC30" s="6">
        <f>Anthropometry[[#This Row],[Mid-thighs]]-PI()*(Anthropometry[[#This Row],[Thigh]]/10)</f>
        <v>55.472124040525614</v>
      </c>
      <c r="AD30" s="6">
        <f>Anthropometry[[#This Row],[Mid-calf]]-PI()*(Anthropometry[[#This Row],[Calf]]/10)</f>
        <v>34.211947012028183</v>
      </c>
      <c r="AE30" s="6"/>
      <c r="AF30" s="6"/>
    </row>
    <row r="31" spans="1:32" ht="14.45">
      <c r="A31" t="s">
        <v>39</v>
      </c>
      <c r="B31" s="12">
        <v>42012</v>
      </c>
      <c r="C31" s="14">
        <v>0.38263888888888892</v>
      </c>
      <c r="D31">
        <v>180.3</v>
      </c>
      <c r="E31" s="16">
        <v>83.1</v>
      </c>
      <c r="F31" s="16"/>
      <c r="G31" s="6">
        <v>76.558758569999995</v>
      </c>
      <c r="H31" s="6">
        <v>6.5412414299999995</v>
      </c>
      <c r="I31" s="6">
        <v>48.5</v>
      </c>
      <c r="J31" s="6">
        <v>94.7</v>
      </c>
      <c r="K31" s="6">
        <v>31.3</v>
      </c>
      <c r="L31" s="6"/>
      <c r="M31" s="16">
        <v>99.5</v>
      </c>
      <c r="N31" s="16">
        <v>59.1</v>
      </c>
      <c r="O31" s="6">
        <v>174.27999999999997</v>
      </c>
      <c r="P31" s="6"/>
      <c r="Q31" s="6">
        <v>40.200000000000003</v>
      </c>
      <c r="R31" s="6">
        <v>7.2</v>
      </c>
      <c r="S31" s="6">
        <v>8</v>
      </c>
      <c r="T31" s="6">
        <v>3.1</v>
      </c>
      <c r="U31" s="6">
        <v>12.2</v>
      </c>
      <c r="V31" s="6">
        <v>7.3</v>
      </c>
      <c r="W31" s="6">
        <v>12.4</v>
      </c>
      <c r="X31" s="6">
        <v>10.199999999999999</v>
      </c>
      <c r="Y31" s="6">
        <v>5.2</v>
      </c>
      <c r="Z31" s="6">
        <v>65.599999999999994</v>
      </c>
      <c r="AA31" s="6">
        <v>7.8715299999999999</v>
      </c>
      <c r="AB31" s="6">
        <f>Anthropometry[[#This Row],[Upper arm girth - R]]-(PI()*(Anthropometry[[#This Row],[Triceps]]/10))</f>
        <v>29.038053289415348</v>
      </c>
      <c r="AC31" s="6">
        <f>Anthropometry[[#This Row],[Mid-thighs]]-PI()*(Anthropometry[[#This Row],[Thigh]]/10)</f>
        <v>55.895575493338413</v>
      </c>
      <c r="AD31" s="6">
        <f>Anthropometry[[#This Row],[Mid-calf]]-PI()*(Anthropometry[[#This Row],[Calf]]/10)</f>
        <v>38.566371820133313</v>
      </c>
      <c r="AE31" s="6"/>
      <c r="AF31" s="6"/>
    </row>
    <row r="32" spans="1:32" ht="14.45">
      <c r="A32" t="s">
        <v>39</v>
      </c>
      <c r="B32" s="12">
        <v>42041</v>
      </c>
      <c r="C32" s="14">
        <v>0.3611111111111111</v>
      </c>
      <c r="D32">
        <v>180.3</v>
      </c>
      <c r="E32">
        <v>83.6</v>
      </c>
      <c r="G32" s="6">
        <v>77.33570988000001</v>
      </c>
      <c r="H32" s="6">
        <v>6.2642901199999992</v>
      </c>
      <c r="I32">
        <v>48</v>
      </c>
      <c r="J32">
        <v>94</v>
      </c>
      <c r="K32">
        <v>31</v>
      </c>
      <c r="M32">
        <v>98.5</v>
      </c>
      <c r="N32">
        <v>60</v>
      </c>
      <c r="O32" s="6">
        <v>179.11899999999997</v>
      </c>
      <c r="P32" s="6"/>
      <c r="Q32">
        <v>40</v>
      </c>
      <c r="R32">
        <v>6.6</v>
      </c>
      <c r="S32">
        <v>7.6</v>
      </c>
      <c r="T32">
        <v>3.1</v>
      </c>
      <c r="U32">
        <v>10.5</v>
      </c>
      <c r="V32">
        <v>6.2</v>
      </c>
      <c r="W32">
        <v>11.4</v>
      </c>
      <c r="X32">
        <v>9.9</v>
      </c>
      <c r="Y32">
        <v>5</v>
      </c>
      <c r="Z32" s="6">
        <v>60.3</v>
      </c>
      <c r="AA32" s="6">
        <v>7.4931699999999992</v>
      </c>
      <c r="AB32" s="6">
        <f>Anthropometry[[#This Row],[Upper arm girth - R]]-(PI()*(Anthropometry[[#This Row],[Triceps]]/10))</f>
        <v>28.926548848630738</v>
      </c>
      <c r="AC32" s="6">
        <f>Anthropometry[[#This Row],[Mid-thighs]]-PI()*(Anthropometry[[#This Row],[Thigh]]/10)</f>
        <v>56.889823272946103</v>
      </c>
      <c r="AD32" s="6">
        <f>Anthropometry[[#This Row],[Mid-calf]]-PI()*(Anthropometry[[#This Row],[Calf]]/10)</f>
        <v>38.429203673205102</v>
      </c>
      <c r="AE32" s="6"/>
      <c r="AF32" s="6"/>
    </row>
    <row r="33" spans="1:32" ht="14.45">
      <c r="A33" t="s">
        <v>40</v>
      </c>
      <c r="B33" s="12">
        <v>42070</v>
      </c>
      <c r="C33" s="14">
        <v>0.5</v>
      </c>
      <c r="D33" s="6">
        <v>182.1</v>
      </c>
      <c r="E33">
        <v>86.1</v>
      </c>
      <c r="G33" s="6">
        <v>78.616782090000001</v>
      </c>
      <c r="H33" s="6">
        <v>7.4832179099999996</v>
      </c>
      <c r="I33">
        <v>120</v>
      </c>
      <c r="J33">
        <v>97</v>
      </c>
      <c r="K33">
        <v>32.5</v>
      </c>
      <c r="M33">
        <v>103.5</v>
      </c>
      <c r="N33">
        <v>58.8</v>
      </c>
      <c r="O33" s="6">
        <v>179.56399999999996</v>
      </c>
      <c r="Q33">
        <v>35.5</v>
      </c>
      <c r="R33">
        <v>6.4</v>
      </c>
      <c r="S33">
        <v>10.7</v>
      </c>
      <c r="T33">
        <v>3.6</v>
      </c>
      <c r="U33">
        <v>15</v>
      </c>
      <c r="V33">
        <v>8.1999999999999993</v>
      </c>
      <c r="W33">
        <v>20</v>
      </c>
      <c r="X33">
        <v>7</v>
      </c>
      <c r="Y33">
        <v>5.8</v>
      </c>
      <c r="Z33">
        <v>76.7</v>
      </c>
      <c r="AA33" s="6">
        <v>8.6913099999999996</v>
      </c>
      <c r="AB33" s="6">
        <f>Anthropometry[[#This Row],[Upper arm girth - R]]-(PI()*(Anthropometry[[#This Row],[Triceps]]/10))</f>
        <v>30.489380701702533</v>
      </c>
      <c r="AC33" s="6">
        <f>Anthropometry[[#This Row],[Mid-thighs]]-PI()*(Anthropometry[[#This Row],[Thigh]]/10)</f>
        <v>56.600885142487144</v>
      </c>
      <c r="AD33" s="6">
        <f>Anthropometry[[#This Row],[Mid-calf]]-PI()*(Anthropometry[[#This Row],[Calf]]/10)</f>
        <v>33.67787626091792</v>
      </c>
      <c r="AE33" s="6"/>
      <c r="AF33" s="6"/>
    </row>
    <row r="34" spans="1:32" ht="14.45">
      <c r="A34" t="s">
        <v>40</v>
      </c>
      <c r="B34" s="12">
        <v>42099</v>
      </c>
      <c r="C34" s="14">
        <v>0.70833333333333337</v>
      </c>
      <c r="D34" s="6">
        <v>182.1</v>
      </c>
      <c r="E34">
        <v>86.9</v>
      </c>
      <c r="G34" s="6">
        <v>79.584714550000015</v>
      </c>
      <c r="H34" s="6">
        <v>7.315285450000002</v>
      </c>
      <c r="I34">
        <v>50.7</v>
      </c>
      <c r="J34">
        <v>99</v>
      </c>
      <c r="K34">
        <v>31.8</v>
      </c>
      <c r="M34">
        <v>103.6</v>
      </c>
      <c r="N34">
        <v>59</v>
      </c>
      <c r="O34" s="6">
        <v>182.38099999999997</v>
      </c>
      <c r="Q34">
        <v>35.6</v>
      </c>
      <c r="R34">
        <v>6.2</v>
      </c>
      <c r="S34">
        <v>12.2</v>
      </c>
      <c r="T34">
        <v>3.2</v>
      </c>
      <c r="U34">
        <v>12</v>
      </c>
      <c r="V34">
        <v>7.1</v>
      </c>
      <c r="W34">
        <v>19</v>
      </c>
      <c r="X34">
        <v>6.1</v>
      </c>
      <c r="Y34">
        <v>4.9000000000000004</v>
      </c>
      <c r="Z34">
        <v>70.7</v>
      </c>
      <c r="AA34" s="6">
        <v>8.4180500000000009</v>
      </c>
      <c r="AB34" s="6">
        <f>Anthropometry[[#This Row],[Upper arm girth - R]]-(PI()*(Anthropometry[[#This Row],[Triceps]]/10))</f>
        <v>29.852212554774329</v>
      </c>
      <c r="AC34" s="6">
        <f>Anthropometry[[#This Row],[Mid-thighs]]-PI()*(Anthropometry[[#This Row],[Thigh]]/10)</f>
        <v>57.083628481310228</v>
      </c>
      <c r="AD34" s="6">
        <f>Anthropometry[[#This Row],[Mid-calf]]-PI()*(Anthropometry[[#This Row],[Calf]]/10)</f>
        <v>34.060619599741003</v>
      </c>
      <c r="AE34" s="6"/>
      <c r="AF34" s="6"/>
    </row>
    <row r="35" spans="1:32" ht="14.45">
      <c r="A35" t="s">
        <v>39</v>
      </c>
      <c r="B35" s="12">
        <v>42101</v>
      </c>
      <c r="C35" s="14">
        <v>0.6479166666666667</v>
      </c>
      <c r="D35">
        <v>180.3</v>
      </c>
      <c r="E35">
        <v>83.1</v>
      </c>
      <c r="G35" s="6">
        <v>76.523823329999999</v>
      </c>
      <c r="H35" s="6">
        <v>6.5761766699999988</v>
      </c>
      <c r="I35">
        <v>47.2</v>
      </c>
      <c r="J35">
        <v>94.2</v>
      </c>
      <c r="K35">
        <v>30.2</v>
      </c>
      <c r="M35">
        <v>100</v>
      </c>
      <c r="N35">
        <v>58.5</v>
      </c>
      <c r="O35" s="6">
        <v>174.60699999999997</v>
      </c>
      <c r="P35" s="6"/>
      <c r="Q35">
        <v>40</v>
      </c>
      <c r="R35">
        <v>6.6</v>
      </c>
      <c r="S35">
        <v>8.1999999999999993</v>
      </c>
      <c r="T35">
        <v>3.2</v>
      </c>
      <c r="U35">
        <v>13.8</v>
      </c>
      <c r="V35">
        <v>7.6</v>
      </c>
      <c r="W35">
        <v>14.5</v>
      </c>
      <c r="X35">
        <v>8.6999999999999993</v>
      </c>
      <c r="Y35">
        <v>5.0999999999999996</v>
      </c>
      <c r="Z35" s="6">
        <v>67.699999999999989</v>
      </c>
      <c r="AA35" s="6">
        <v>7.9135699999999991</v>
      </c>
      <c r="AB35" s="6">
        <f>Anthropometry[[#This Row],[Upper arm girth - R]]-(PI()*(Anthropometry[[#This Row],[Triceps]]/10))</f>
        <v>28.126548848630737</v>
      </c>
      <c r="AC35" s="6">
        <f>Anthropometry[[#This Row],[Mid-thighs]]-PI()*(Anthropometry[[#This Row],[Thigh]]/10)</f>
        <v>55.766814391376883</v>
      </c>
      <c r="AD35" s="6">
        <f>Anthropometry[[#This Row],[Mid-calf]]-PI()*(Anthropometry[[#This Row],[Calf]]/10)</f>
        <v>38.397787746669202</v>
      </c>
      <c r="AE35" s="6"/>
      <c r="AF35" s="6"/>
    </row>
    <row r="36" spans="1:32" ht="14.45">
      <c r="A36" t="s">
        <v>39</v>
      </c>
      <c r="B36" s="12">
        <v>42128</v>
      </c>
      <c r="C36" s="14">
        <v>0.70833333333333337</v>
      </c>
      <c r="D36">
        <v>180.3</v>
      </c>
      <c r="E36">
        <v>85.4</v>
      </c>
      <c r="G36" s="6">
        <v>78.605909060000002</v>
      </c>
      <c r="H36" s="6">
        <v>6.7940909400000011</v>
      </c>
      <c r="I36">
        <v>48.6</v>
      </c>
      <c r="J36">
        <v>94.7</v>
      </c>
      <c r="K36">
        <v>31.6</v>
      </c>
      <c r="M36">
        <v>102.6</v>
      </c>
      <c r="N36">
        <v>59.8</v>
      </c>
      <c r="O36" s="6">
        <v>180.27299999999997</v>
      </c>
      <c r="P36" s="6"/>
      <c r="Q36">
        <v>39.799999999999997</v>
      </c>
      <c r="R36">
        <v>7.7</v>
      </c>
      <c r="S36">
        <v>8.1</v>
      </c>
      <c r="T36">
        <v>4.3</v>
      </c>
      <c r="U36">
        <v>13.2</v>
      </c>
      <c r="V36">
        <v>7.9</v>
      </c>
      <c r="W36">
        <v>13.6</v>
      </c>
      <c r="X36">
        <v>8.9</v>
      </c>
      <c r="Y36">
        <v>4.9000000000000004</v>
      </c>
      <c r="Z36" s="6">
        <v>68.599999999999994</v>
      </c>
      <c r="AA36" s="6">
        <v>7.9556100000000001</v>
      </c>
      <c r="AB36" s="6">
        <f>Anthropometry[[#This Row],[Upper arm girth - R]]-(PI()*(Anthropometry[[#This Row],[Triceps]]/10))</f>
        <v>29.180973656735862</v>
      </c>
      <c r="AC36" s="6">
        <f>Anthropometry[[#This Row],[Mid-thighs]]-PI()*(Anthropometry[[#This Row],[Thigh]]/10)</f>
        <v>57.003982538305081</v>
      </c>
      <c r="AD36" s="6">
        <f>Anthropometry[[#This Row],[Mid-calf]]-PI()*(Anthropometry[[#This Row],[Calf]]/10)</f>
        <v>38.260619599740998</v>
      </c>
      <c r="AE36" s="6"/>
      <c r="AF36" s="6"/>
    </row>
    <row r="37" spans="1:32" ht="14.45">
      <c r="A37" t="s">
        <v>41</v>
      </c>
      <c r="B37" s="12">
        <v>42128</v>
      </c>
      <c r="C37" s="14">
        <v>0.61458333333333337</v>
      </c>
      <c r="D37">
        <v>177.4</v>
      </c>
      <c r="E37">
        <v>82.9</v>
      </c>
      <c r="G37" s="6">
        <v>76.897269030000004</v>
      </c>
      <c r="H37" s="6">
        <v>6.00273097</v>
      </c>
      <c r="I37">
        <v>50.8</v>
      </c>
      <c r="J37">
        <v>97.7</v>
      </c>
      <c r="K37">
        <v>31</v>
      </c>
      <c r="M37">
        <v>101</v>
      </c>
      <c r="N37">
        <v>58</v>
      </c>
      <c r="O37" s="6">
        <v>177.70099999999996</v>
      </c>
      <c r="Q37">
        <v>37.299999999999997</v>
      </c>
      <c r="R37">
        <v>8.1999999999999993</v>
      </c>
      <c r="S37">
        <v>8.1999999999999993</v>
      </c>
      <c r="T37">
        <v>3.5</v>
      </c>
      <c r="U37">
        <v>10</v>
      </c>
      <c r="V37">
        <v>6.2</v>
      </c>
      <c r="W37">
        <v>10</v>
      </c>
      <c r="X37">
        <v>6.1</v>
      </c>
      <c r="Y37">
        <v>5.6</v>
      </c>
      <c r="Z37">
        <v>57.800000000000004</v>
      </c>
      <c r="AA37" s="6">
        <v>7.2409299999999996</v>
      </c>
      <c r="AB37" s="6">
        <f>Anthropometry[[#This Row],[Upper arm girth - R]]-(PI()*(Anthropometry[[#This Row],[Triceps]]/10))</f>
        <v>28.42389402405637</v>
      </c>
      <c r="AC37" s="6">
        <f>Anthropometry[[#This Row],[Mid-thighs]]-PI()*(Anthropometry[[#This Row],[Thigh]]/10)</f>
        <v>56.083628481310228</v>
      </c>
      <c r="AD37" s="6">
        <f>Anthropometry[[#This Row],[Mid-calf]]-PI()*(Anthropometry[[#This Row],[Calf]]/10)</f>
        <v>35.540708113989716</v>
      </c>
      <c r="AE37" s="6"/>
      <c r="AF37" s="6"/>
    </row>
    <row r="38" spans="1:32" ht="14.45">
      <c r="A38" t="s">
        <v>42</v>
      </c>
      <c r="B38" s="12">
        <v>42150</v>
      </c>
      <c r="C38" s="14">
        <v>0.39583333333333331</v>
      </c>
      <c r="D38">
        <v>166.5</v>
      </c>
      <c r="E38">
        <v>68.400000000000006</v>
      </c>
      <c r="F38" s="6">
        <v>20.54054054054054</v>
      </c>
      <c r="G38" s="6">
        <v>58.70886912000001</v>
      </c>
      <c r="H38" s="6">
        <v>9.6911308800000011</v>
      </c>
      <c r="I38">
        <v>45.2</v>
      </c>
      <c r="J38">
        <v>85.3</v>
      </c>
      <c r="K38">
        <v>28.2</v>
      </c>
      <c r="M38">
        <v>102</v>
      </c>
      <c r="N38">
        <v>55.5</v>
      </c>
      <c r="O38" s="6">
        <v>149.49</v>
      </c>
      <c r="Q38">
        <v>37.5</v>
      </c>
      <c r="R38">
        <v>13.2</v>
      </c>
      <c r="S38">
        <v>7.8</v>
      </c>
      <c r="T38">
        <v>4.4000000000000004</v>
      </c>
      <c r="U38">
        <v>11.4</v>
      </c>
      <c r="V38">
        <v>8.1</v>
      </c>
      <c r="W38">
        <v>13</v>
      </c>
      <c r="X38">
        <v>14</v>
      </c>
      <c r="Y38">
        <v>12.3</v>
      </c>
      <c r="Z38">
        <v>84.2</v>
      </c>
      <c r="AA38" s="6">
        <v>14.168320000000001</v>
      </c>
      <c r="AB38" s="6">
        <f>Anthropometry[[#This Row],[Upper arm girth - R]]-(PI()*(Anthropometry[[#This Row],[Triceps]]/10))</f>
        <v>24.053097697261471</v>
      </c>
      <c r="AC38" s="6">
        <f>Anthropometry[[#This Row],[Mid-thighs]]-PI()*(Anthropometry[[#This Row],[Thigh]]/10)</f>
        <v>51.101770284974293</v>
      </c>
      <c r="AD38" s="6">
        <f>Anthropometry[[#This Row],[Mid-calf]]-PI()*(Anthropometry[[#This Row],[Calf]]/10)</f>
        <v>33.635841036084557</v>
      </c>
      <c r="AE38" s="6"/>
      <c r="AF38" s="6"/>
    </row>
    <row r="39" spans="1:32" ht="14.45">
      <c r="A39" t="s">
        <v>39</v>
      </c>
      <c r="B39" s="12">
        <v>42152</v>
      </c>
      <c r="C39" s="14">
        <v>0.58333333333333337</v>
      </c>
      <c r="D39">
        <v>180.3</v>
      </c>
      <c r="E39">
        <v>84.7</v>
      </c>
      <c r="G39" s="6">
        <v>78.11293182</v>
      </c>
      <c r="H39" s="6">
        <v>6.5870681799999993</v>
      </c>
      <c r="I39">
        <v>48.8</v>
      </c>
      <c r="J39">
        <v>93</v>
      </c>
      <c r="K39">
        <v>30.4</v>
      </c>
      <c r="M39">
        <v>100.5</v>
      </c>
      <c r="N39">
        <v>60.5</v>
      </c>
      <c r="O39" s="6">
        <v>184.38499999999999</v>
      </c>
      <c r="P39" s="6"/>
      <c r="Q39">
        <v>40.1</v>
      </c>
      <c r="R39">
        <v>7.2</v>
      </c>
      <c r="S39">
        <v>7.8</v>
      </c>
      <c r="T39">
        <v>3.6</v>
      </c>
      <c r="U39">
        <v>14</v>
      </c>
      <c r="V39">
        <v>7.5</v>
      </c>
      <c r="W39">
        <v>13.5</v>
      </c>
      <c r="X39">
        <v>8.5</v>
      </c>
      <c r="Y39">
        <v>4.9000000000000004</v>
      </c>
      <c r="Z39" s="6">
        <v>67</v>
      </c>
      <c r="AA39" s="6">
        <v>7.7769399999999997</v>
      </c>
      <c r="AB39" s="6">
        <f>Anthropometry[[#This Row],[Upper arm girth - R]]-(PI()*(Anthropometry[[#This Row],[Triceps]]/10))</f>
        <v>28.138053289415346</v>
      </c>
      <c r="AC39" s="6">
        <f>Anthropometry[[#This Row],[Mid-thighs]]-PI()*(Anthropometry[[#This Row],[Thigh]]/10)</f>
        <v>57.829646244448675</v>
      </c>
      <c r="AD39" s="6">
        <f>Anthropometry[[#This Row],[Mid-calf]]-PI()*(Anthropometry[[#This Row],[Calf]]/10)</f>
        <v>38.560619599741003</v>
      </c>
      <c r="AE39" s="6"/>
      <c r="AF39" s="6"/>
    </row>
    <row r="40" spans="1:32" ht="14.45">
      <c r="A40" t="s">
        <v>40</v>
      </c>
      <c r="B40" s="12">
        <v>42152</v>
      </c>
      <c r="C40" s="14">
        <v>0.70416666666666661</v>
      </c>
      <c r="D40" s="6">
        <v>182.1</v>
      </c>
      <c r="E40">
        <v>86.4</v>
      </c>
      <c r="G40" s="6">
        <v>79.172208000000012</v>
      </c>
      <c r="H40" s="6">
        <v>7.227792</v>
      </c>
      <c r="I40">
        <v>50.4</v>
      </c>
      <c r="J40">
        <v>96.4</v>
      </c>
      <c r="K40">
        <v>32</v>
      </c>
      <c r="M40">
        <v>103.4</v>
      </c>
      <c r="N40">
        <v>58.5</v>
      </c>
      <c r="O40" s="6">
        <v>180.45899999999995</v>
      </c>
      <c r="Q40">
        <v>35.5</v>
      </c>
      <c r="R40">
        <v>6.4</v>
      </c>
      <c r="S40">
        <v>11.4</v>
      </c>
      <c r="T40">
        <v>2.9</v>
      </c>
      <c r="U40">
        <v>15.2</v>
      </c>
      <c r="V40">
        <v>8</v>
      </c>
      <c r="W40">
        <v>18.5</v>
      </c>
      <c r="X40">
        <v>5.9</v>
      </c>
      <c r="Y40">
        <v>4.8</v>
      </c>
      <c r="Z40">
        <v>73.099999999999994</v>
      </c>
      <c r="AA40" s="6">
        <v>8.365499999999999</v>
      </c>
      <c r="AB40" s="6">
        <f>Anthropometry[[#This Row],[Upper arm girth - R]]-(PI()*(Anthropometry[[#This Row],[Triceps]]/10))</f>
        <v>29.989380701702533</v>
      </c>
      <c r="AC40" s="6">
        <f>Anthropometry[[#This Row],[Mid-thighs]]-PI()*(Anthropometry[[#This Row],[Thigh]]/10)</f>
        <v>56.64646033438202</v>
      </c>
      <c r="AD40" s="6">
        <f>Anthropometry[[#This Row],[Mid-calf]]-PI()*(Anthropometry[[#This Row],[Calf]]/10)</f>
        <v>33.992035526276901</v>
      </c>
      <c r="AE40" s="6"/>
      <c r="AF40" s="6"/>
    </row>
    <row r="41" spans="1:32" ht="14.45">
      <c r="A41" t="s">
        <v>40</v>
      </c>
      <c r="B41" s="12">
        <v>42157</v>
      </c>
      <c r="C41" s="14">
        <v>0.37152777777777773</v>
      </c>
      <c r="D41" s="6">
        <v>182.1</v>
      </c>
      <c r="E41">
        <v>82.7</v>
      </c>
      <c r="G41" s="6">
        <v>77.007271070000002</v>
      </c>
      <c r="H41" s="6">
        <v>5.6927289300000004</v>
      </c>
      <c r="I41">
        <v>49.8</v>
      </c>
      <c r="J41">
        <v>95.2</v>
      </c>
      <c r="K41">
        <v>31</v>
      </c>
      <c r="M41">
        <v>101</v>
      </c>
      <c r="N41">
        <v>56.5</v>
      </c>
      <c r="O41" s="6">
        <v>172.97999999999996</v>
      </c>
      <c r="Q41">
        <v>35</v>
      </c>
      <c r="R41">
        <v>5.5</v>
      </c>
      <c r="S41">
        <v>10</v>
      </c>
      <c r="T41">
        <v>2.8</v>
      </c>
      <c r="U41">
        <v>9</v>
      </c>
      <c r="V41">
        <v>4.9000000000000004</v>
      </c>
      <c r="W41">
        <v>11.5</v>
      </c>
      <c r="X41">
        <v>5</v>
      </c>
      <c r="Y41">
        <v>4</v>
      </c>
      <c r="Z41">
        <v>52.7</v>
      </c>
      <c r="AA41" s="6">
        <v>6.8835899999999999</v>
      </c>
      <c r="AB41" s="6">
        <f>Anthropometry[[#This Row],[Upper arm girth - R]]-(PI()*(Anthropometry[[#This Row],[Triceps]]/10))</f>
        <v>29.272124040525615</v>
      </c>
      <c r="AC41" s="6">
        <f>Anthropometry[[#This Row],[Mid-thighs]]-PI()*(Anthropometry[[#This Row],[Thigh]]/10)</f>
        <v>54.929203673205102</v>
      </c>
      <c r="AD41" s="6">
        <f>Anthropometry[[#This Row],[Mid-calf]]-PI()*(Anthropometry[[#This Row],[Calf]]/10)</f>
        <v>33.743362938564083</v>
      </c>
      <c r="AE41" s="6"/>
      <c r="AF41" s="6"/>
    </row>
    <row r="42" spans="1:32" ht="14.45">
      <c r="A42" t="s">
        <v>39</v>
      </c>
      <c r="B42" s="12">
        <v>42188</v>
      </c>
      <c r="C42" s="14">
        <v>0.51388888888888895</v>
      </c>
      <c r="D42">
        <v>180.3</v>
      </c>
      <c r="E42">
        <v>85.4</v>
      </c>
      <c r="G42" s="6">
        <v>78.561031360000001</v>
      </c>
      <c r="H42" s="6">
        <v>6.8389686400000009</v>
      </c>
      <c r="I42">
        <v>116</v>
      </c>
      <c r="J42">
        <v>94</v>
      </c>
      <c r="K42">
        <v>31</v>
      </c>
      <c r="M42">
        <v>101.5</v>
      </c>
      <c r="N42">
        <v>61</v>
      </c>
      <c r="O42" s="6">
        <v>185.05299999999994</v>
      </c>
      <c r="P42" s="6"/>
      <c r="Q42">
        <v>40.5</v>
      </c>
      <c r="R42">
        <v>7.5</v>
      </c>
      <c r="S42">
        <v>8.3000000000000007</v>
      </c>
      <c r="T42">
        <v>3.4</v>
      </c>
      <c r="U42">
        <v>14.8</v>
      </c>
      <c r="V42">
        <v>7.6</v>
      </c>
      <c r="W42">
        <v>13.3</v>
      </c>
      <c r="X42">
        <v>9.3000000000000007</v>
      </c>
      <c r="Y42">
        <v>5.6</v>
      </c>
      <c r="Z42" s="6">
        <v>69.8</v>
      </c>
      <c r="AA42" s="6">
        <v>8.0081600000000002</v>
      </c>
      <c r="AB42" s="6">
        <f>Anthropometry[[#This Row],[Upper arm girth - R]]-(PI()*(Anthropometry[[#This Row],[Triceps]]/10))</f>
        <v>28.643805509807656</v>
      </c>
      <c r="AC42" s="6">
        <f>Anthropometry[[#This Row],[Mid-thighs]]-PI()*(Anthropometry[[#This Row],[Thigh]]/10)</f>
        <v>58.078318832161493</v>
      </c>
      <c r="AD42" s="6">
        <f>Anthropometry[[#This Row],[Mid-calf]]-PI()*(Anthropometry[[#This Row],[Calf]]/10)</f>
        <v>38.740708113989719</v>
      </c>
      <c r="AE42" s="6"/>
      <c r="AF42" s="6"/>
    </row>
    <row r="43" spans="1:32" ht="14.45">
      <c r="A43" t="s">
        <v>41</v>
      </c>
      <c r="B43" s="12">
        <v>42189</v>
      </c>
      <c r="C43" s="14">
        <v>0.54166666666666663</v>
      </c>
      <c r="D43">
        <v>177.4</v>
      </c>
      <c r="E43">
        <v>82.1</v>
      </c>
      <c r="G43" s="6">
        <v>76.422686479999996</v>
      </c>
      <c r="H43" s="6">
        <v>5.6773135199999984</v>
      </c>
      <c r="I43">
        <v>50.5</v>
      </c>
      <c r="J43">
        <v>99.2</v>
      </c>
      <c r="K43">
        <v>31.4</v>
      </c>
      <c r="M43">
        <v>99</v>
      </c>
      <c r="N43">
        <v>58.5</v>
      </c>
      <c r="O43" s="6">
        <v>180.66799999999995</v>
      </c>
      <c r="Q43">
        <v>37.200000000000003</v>
      </c>
      <c r="R43">
        <v>6</v>
      </c>
      <c r="S43">
        <v>8</v>
      </c>
      <c r="T43">
        <v>3.5</v>
      </c>
      <c r="U43">
        <v>9.5</v>
      </c>
      <c r="V43">
        <v>6.2</v>
      </c>
      <c r="W43">
        <v>9.4</v>
      </c>
      <c r="X43">
        <v>5.8</v>
      </c>
      <c r="Y43">
        <v>5.8</v>
      </c>
      <c r="Z43">
        <v>54.199999999999996</v>
      </c>
      <c r="AA43" s="6">
        <v>6.915119999999999</v>
      </c>
      <c r="AB43" s="6">
        <f>Anthropometry[[#This Row],[Upper arm girth - R]]-(PI()*(Anthropometry[[#This Row],[Triceps]]/10))</f>
        <v>29.515044407846123</v>
      </c>
      <c r="AC43" s="6">
        <f>Anthropometry[[#This Row],[Mid-thighs]]-PI()*(Anthropometry[[#This Row],[Thigh]]/10)</f>
        <v>56.67787626091792</v>
      </c>
      <c r="AD43" s="6">
        <f>Anthropometry[[#This Row],[Mid-calf]]-PI()*(Anthropometry[[#This Row],[Calf]]/10)</f>
        <v>35.377876260917922</v>
      </c>
      <c r="AE43" s="6"/>
      <c r="AF43" s="6"/>
    </row>
    <row r="44" spans="1:32" ht="14.45">
      <c r="A44" t="s">
        <v>40</v>
      </c>
      <c r="B44" s="12">
        <v>42189</v>
      </c>
      <c r="C44" s="14">
        <v>0.65902777777777777</v>
      </c>
      <c r="D44" s="6">
        <v>182.1</v>
      </c>
      <c r="E44">
        <v>85.5</v>
      </c>
      <c r="G44" s="6">
        <v>78.446344050000008</v>
      </c>
      <c r="H44" s="6">
        <v>7.0536559500000005</v>
      </c>
      <c r="I44">
        <v>50</v>
      </c>
      <c r="J44">
        <v>96.2</v>
      </c>
      <c r="K44">
        <v>31.5</v>
      </c>
      <c r="M44">
        <v>101.6</v>
      </c>
      <c r="N44">
        <v>58</v>
      </c>
      <c r="O44" s="6">
        <v>177.49199999999996</v>
      </c>
      <c r="Q44">
        <v>35.5</v>
      </c>
      <c r="R44">
        <v>6.5</v>
      </c>
      <c r="S44">
        <v>10.8</v>
      </c>
      <c r="T44">
        <v>4</v>
      </c>
      <c r="U44">
        <v>13.8</v>
      </c>
      <c r="V44">
        <v>7.4</v>
      </c>
      <c r="W44">
        <v>18</v>
      </c>
      <c r="X44">
        <v>6.2</v>
      </c>
      <c r="Y44">
        <v>5</v>
      </c>
      <c r="Z44">
        <v>71.7</v>
      </c>
      <c r="AA44" s="6">
        <v>8.2498900000000006</v>
      </c>
      <c r="AB44" s="6">
        <f>Anthropometry[[#This Row],[Upper arm girth - R]]-(PI()*(Anthropometry[[#This Row],[Triceps]]/10))</f>
        <v>29.457964775166634</v>
      </c>
      <c r="AC44" s="6">
        <f>Anthropometry[[#This Row],[Mid-thighs]]-PI()*(Anthropometry[[#This Row],[Thigh]]/10)</f>
        <v>56.052212554774329</v>
      </c>
      <c r="AD44" s="6">
        <f>Anthropometry[[#This Row],[Mid-calf]]-PI()*(Anthropometry[[#This Row],[Calf]]/10)</f>
        <v>33.929203673205102</v>
      </c>
      <c r="AE44" s="6"/>
      <c r="AF44" s="6"/>
    </row>
    <row r="45" spans="1:32" ht="14.45">
      <c r="A45" t="s">
        <v>42</v>
      </c>
      <c r="B45" s="12">
        <v>42217</v>
      </c>
      <c r="C45" s="14">
        <v>0.48958333333333331</v>
      </c>
      <c r="D45">
        <v>166.5</v>
      </c>
      <c r="E45">
        <v>67.599999999999994</v>
      </c>
      <c r="F45" s="6">
        <v>20.300300300300297</v>
      </c>
      <c r="G45" s="6">
        <v>58.346614559999992</v>
      </c>
      <c r="H45" s="6">
        <v>9.2533854399999989</v>
      </c>
      <c r="I45">
        <v>44.8</v>
      </c>
      <c r="J45">
        <v>85.9</v>
      </c>
      <c r="K45">
        <v>29</v>
      </c>
      <c r="M45">
        <v>100</v>
      </c>
      <c r="N45">
        <v>55</v>
      </c>
      <c r="O45" s="6">
        <v>141.92499999999995</v>
      </c>
      <c r="Q45">
        <v>37.6</v>
      </c>
      <c r="R45">
        <v>12</v>
      </c>
      <c r="S45">
        <v>7.4</v>
      </c>
      <c r="T45">
        <v>4.5999999999999996</v>
      </c>
      <c r="U45">
        <v>11.8</v>
      </c>
      <c r="V45">
        <v>7.6</v>
      </c>
      <c r="W45">
        <v>9.6</v>
      </c>
      <c r="X45">
        <v>16.5</v>
      </c>
      <c r="Y45">
        <v>12.2</v>
      </c>
      <c r="Z45">
        <v>81.7</v>
      </c>
      <c r="AA45" s="6">
        <v>13.68844</v>
      </c>
      <c r="AB45" s="6">
        <f>Anthropometry[[#This Row],[Upper arm girth - R]]-(PI()*(Anthropometry[[#This Row],[Triceps]]/10))</f>
        <v>25.230088815692248</v>
      </c>
      <c r="AC45" s="6">
        <f>Anthropometry[[#This Row],[Mid-thighs]]-PI()*(Anthropometry[[#This Row],[Thigh]]/10)</f>
        <v>49.81637212157684</v>
      </c>
      <c r="AD45" s="6">
        <f>Anthropometry[[#This Row],[Mid-calf]]-PI()*(Anthropometry[[#This Row],[Calf]]/10)</f>
        <v>33.767256962620451</v>
      </c>
      <c r="AE45" s="6"/>
      <c r="AF45" s="6"/>
    </row>
    <row r="46" spans="1:32" ht="14.45">
      <c r="A46" t="s">
        <v>40</v>
      </c>
      <c r="B46" s="12">
        <v>42217</v>
      </c>
      <c r="C46" s="14">
        <v>0.3743055555555555</v>
      </c>
      <c r="D46" s="6">
        <v>182.1</v>
      </c>
      <c r="E46">
        <v>83.5</v>
      </c>
      <c r="G46" s="6">
        <v>77.366064949999995</v>
      </c>
      <c r="H46" s="6">
        <v>6.1339350499999998</v>
      </c>
      <c r="I46">
        <v>50.5</v>
      </c>
      <c r="J46">
        <v>94.9</v>
      </c>
      <c r="K46">
        <v>31.7</v>
      </c>
      <c r="M46">
        <v>101</v>
      </c>
      <c r="N46">
        <v>57.6</v>
      </c>
      <c r="O46" s="6">
        <v>176.45599999999996</v>
      </c>
      <c r="Q46">
        <v>35.4</v>
      </c>
      <c r="R46">
        <v>5.5</v>
      </c>
      <c r="S46">
        <v>10.199999999999999</v>
      </c>
      <c r="T46">
        <v>2.9</v>
      </c>
      <c r="U46">
        <v>9</v>
      </c>
      <c r="V46">
        <v>5.8</v>
      </c>
      <c r="W46">
        <v>13.8</v>
      </c>
      <c r="X46">
        <v>5.8</v>
      </c>
      <c r="Y46">
        <v>4.2</v>
      </c>
      <c r="Z46">
        <v>57.2</v>
      </c>
      <c r="AA46" s="6">
        <v>7.3460299999999998</v>
      </c>
      <c r="AB46" s="6">
        <f>Anthropometry[[#This Row],[Upper arm girth - R]]-(PI()*(Anthropometry[[#This Row],[Triceps]]/10))</f>
        <v>29.972124040525614</v>
      </c>
      <c r="AC46" s="6">
        <f>Anthropometry[[#This Row],[Mid-thighs]]-PI()*(Anthropometry[[#This Row],[Thigh]]/10)</f>
        <v>55.777876260917921</v>
      </c>
      <c r="AD46" s="6">
        <f>Anthropometry[[#This Row],[Mid-calf]]-PI()*(Anthropometry[[#This Row],[Calf]]/10)</f>
        <v>34.080531085492282</v>
      </c>
      <c r="AE46" s="6"/>
      <c r="AF46" s="6"/>
    </row>
    <row r="47" spans="1:32" ht="14.45">
      <c r="A47" t="s">
        <v>42</v>
      </c>
      <c r="B47" s="12">
        <v>42221</v>
      </c>
      <c r="C47" s="14">
        <v>0.69791666666666663</v>
      </c>
      <c r="D47">
        <v>166.5</v>
      </c>
      <c r="E47">
        <v>68.5</v>
      </c>
      <c r="F47" s="6">
        <v>20.57057057057057</v>
      </c>
      <c r="G47" s="6">
        <v>58.656851400000008</v>
      </c>
      <c r="H47" s="6">
        <v>9.8431485999999992</v>
      </c>
      <c r="I47">
        <v>45.4</v>
      </c>
      <c r="J47" s="15"/>
      <c r="K47">
        <v>27.5</v>
      </c>
      <c r="M47">
        <v>102.3</v>
      </c>
      <c r="N47">
        <v>57</v>
      </c>
      <c r="O47" s="6">
        <v>155.88299999999998</v>
      </c>
      <c r="Q47">
        <v>37.5</v>
      </c>
      <c r="R47">
        <v>12.6</v>
      </c>
      <c r="S47">
        <v>8.1999999999999993</v>
      </c>
      <c r="T47">
        <v>4.8</v>
      </c>
      <c r="U47">
        <v>13.4</v>
      </c>
      <c r="V47">
        <v>9.4</v>
      </c>
      <c r="W47">
        <v>12.2</v>
      </c>
      <c r="X47">
        <v>14.3</v>
      </c>
      <c r="Y47">
        <v>13</v>
      </c>
      <c r="Z47">
        <v>87.899999999999991</v>
      </c>
      <c r="AA47" s="6">
        <v>14.369559999999998</v>
      </c>
      <c r="AB47" s="6">
        <f>Anthropometry[[#This Row],[Upper arm girth - R]]-(PI()*(Anthropometry[[#This Row],[Triceps]]/10))</f>
        <v>23.541593256476862</v>
      </c>
      <c r="AC47" s="6">
        <f>Anthropometry[[#This Row],[Mid-thighs]]-PI()*(Anthropometry[[#This Row],[Thigh]]/10)</f>
        <v>52.507522505366595</v>
      </c>
      <c r="AD47" s="6">
        <f>Anthropometry[[#This Row],[Mid-calf]]-PI()*(Anthropometry[[#This Row],[Calf]]/10)</f>
        <v>33.415929550333267</v>
      </c>
      <c r="AE47" s="6"/>
      <c r="AF47" s="6"/>
    </row>
    <row r="48" spans="1:32" ht="14.45">
      <c r="A48" t="s">
        <v>39</v>
      </c>
      <c r="B48" s="12">
        <v>42243</v>
      </c>
      <c r="C48" s="14">
        <v>0.42708333333333331</v>
      </c>
      <c r="D48">
        <v>180.3</v>
      </c>
      <c r="E48">
        <v>83.2</v>
      </c>
      <c r="G48" s="6">
        <v>76.817029120000001</v>
      </c>
      <c r="H48" s="6">
        <v>6.3829708800000011</v>
      </c>
      <c r="I48">
        <v>48.2</v>
      </c>
      <c r="J48">
        <v>94</v>
      </c>
      <c r="K48">
        <v>30.5</v>
      </c>
      <c r="M48">
        <v>99</v>
      </c>
      <c r="N48">
        <v>60.5</v>
      </c>
      <c r="O48" s="6">
        <v>185.012</v>
      </c>
      <c r="P48" s="6"/>
      <c r="Q48">
        <v>39.5</v>
      </c>
      <c r="R48">
        <v>6.8</v>
      </c>
      <c r="S48">
        <v>7.9</v>
      </c>
      <c r="T48">
        <v>3.4</v>
      </c>
      <c r="U48">
        <v>11.8</v>
      </c>
      <c r="V48">
        <v>6.8</v>
      </c>
      <c r="W48">
        <v>13.5</v>
      </c>
      <c r="X48">
        <v>8.1999999999999993</v>
      </c>
      <c r="Y48">
        <v>5.2</v>
      </c>
      <c r="Z48" s="6">
        <v>63.599999999999994</v>
      </c>
      <c r="AA48" s="6">
        <v>7.6718400000000004</v>
      </c>
      <c r="AB48" s="6">
        <f>Anthropometry[[#This Row],[Upper arm girth - R]]-(PI()*(Anthropometry[[#This Row],[Triceps]]/10))</f>
        <v>28.363716995558942</v>
      </c>
      <c r="AC48" s="6">
        <f>Anthropometry[[#This Row],[Mid-thighs]]-PI()*(Anthropometry[[#This Row],[Thigh]]/10)</f>
        <v>57.923894024056366</v>
      </c>
      <c r="AD48" s="6">
        <f>Anthropometry[[#This Row],[Mid-calf]]-PI()*(Anthropometry[[#This Row],[Calf]]/10)</f>
        <v>37.86637182013331</v>
      </c>
      <c r="AE48" s="6"/>
      <c r="AF48" s="6"/>
    </row>
    <row r="49" spans="1:32" ht="14.45">
      <c r="A49" t="s">
        <v>40</v>
      </c>
      <c r="B49" s="12">
        <v>42243</v>
      </c>
      <c r="C49" s="14">
        <v>0.41666666666666669</v>
      </c>
      <c r="D49" s="6">
        <v>182.1</v>
      </c>
      <c r="E49">
        <v>83.6</v>
      </c>
      <c r="G49" s="6">
        <v>77.142409959999995</v>
      </c>
      <c r="H49" s="6">
        <v>6.4575900400000004</v>
      </c>
      <c r="I49">
        <v>49.5</v>
      </c>
      <c r="J49">
        <v>95</v>
      </c>
      <c r="K49">
        <v>30</v>
      </c>
      <c r="M49">
        <v>100.5</v>
      </c>
      <c r="N49">
        <v>58</v>
      </c>
      <c r="O49" s="6">
        <v>178.74599999999998</v>
      </c>
      <c r="Q49">
        <v>35</v>
      </c>
      <c r="R49">
        <v>6.3</v>
      </c>
      <c r="S49">
        <v>10.5</v>
      </c>
      <c r="T49">
        <v>2.8</v>
      </c>
      <c r="U49">
        <v>9.1999999999999993</v>
      </c>
      <c r="V49">
        <v>6.3</v>
      </c>
      <c r="W49">
        <v>16</v>
      </c>
      <c r="X49">
        <v>5.6</v>
      </c>
      <c r="Y49">
        <v>4.2</v>
      </c>
      <c r="Z49">
        <v>60.900000000000006</v>
      </c>
      <c r="AA49" s="6">
        <v>7.7243900000000005</v>
      </c>
      <c r="AB49" s="6">
        <f>Anthropometry[[#This Row],[Upper arm girth - R]]-(PI()*(Anthropometry[[#This Row],[Triceps]]/10))</f>
        <v>28.020796628238429</v>
      </c>
      <c r="AC49" s="6">
        <f>Anthropometry[[#This Row],[Mid-thighs]]-PI()*(Anthropometry[[#This Row],[Thigh]]/10)</f>
        <v>56.240708113989719</v>
      </c>
      <c r="AD49" s="6">
        <f>Anthropometry[[#This Row],[Mid-calf]]-PI()*(Anthropometry[[#This Row],[Calf]]/10)</f>
        <v>33.680531085492284</v>
      </c>
      <c r="AE49" s="6"/>
      <c r="AF49" s="6"/>
    </row>
    <row r="50" spans="1:32" ht="14.45">
      <c r="A50" t="s">
        <v>42</v>
      </c>
      <c r="B50" s="12">
        <v>42262</v>
      </c>
      <c r="C50" s="14">
        <v>0.5</v>
      </c>
      <c r="D50">
        <v>166.5</v>
      </c>
      <c r="E50">
        <v>67.599999999999994</v>
      </c>
      <c r="F50" s="6">
        <v>20.300300300300297</v>
      </c>
      <c r="G50" s="6">
        <v>58.440794879999991</v>
      </c>
      <c r="H50" s="6">
        <v>9.1592051199999975</v>
      </c>
      <c r="I50">
        <v>44.8</v>
      </c>
      <c r="J50">
        <v>82.5</v>
      </c>
      <c r="K50">
        <v>28.3</v>
      </c>
      <c r="M50">
        <v>101.5</v>
      </c>
      <c r="N50">
        <v>55.6</v>
      </c>
      <c r="O50" s="6">
        <v>152.46599999999995</v>
      </c>
      <c r="Q50">
        <v>37.6</v>
      </c>
      <c r="R50">
        <v>11.2</v>
      </c>
      <c r="S50">
        <v>7.4</v>
      </c>
      <c r="T50">
        <v>4.2</v>
      </c>
      <c r="U50">
        <v>11.2</v>
      </c>
      <c r="V50">
        <v>8.5</v>
      </c>
      <c r="W50">
        <v>12.2</v>
      </c>
      <c r="X50">
        <v>12.8</v>
      </c>
      <c r="Y50">
        <v>12.3</v>
      </c>
      <c r="Z50">
        <v>79.8</v>
      </c>
      <c r="AA50" s="6">
        <v>13.549119999999998</v>
      </c>
      <c r="AB50" s="6">
        <f>Anthropometry[[#This Row],[Upper arm girth - R]]-(PI()*(Anthropometry[[#This Row],[Triceps]]/10))</f>
        <v>24.781416227979435</v>
      </c>
      <c r="AC50" s="6">
        <f>Anthropometry[[#This Row],[Mid-thighs]]-PI()*(Anthropometry[[#This Row],[Thigh]]/10)</f>
        <v>51.578761403405068</v>
      </c>
      <c r="AD50" s="6">
        <f>Anthropometry[[#This Row],[Mid-calf]]-PI()*(Anthropometry[[#This Row],[Calf]]/10)</f>
        <v>33.735841036084558</v>
      </c>
      <c r="AE50" s="6"/>
      <c r="AF50" s="6"/>
    </row>
    <row r="51" spans="1:32" ht="14.45">
      <c r="A51" t="s">
        <v>39</v>
      </c>
      <c r="B51" s="12">
        <v>42276</v>
      </c>
      <c r="C51" s="14">
        <v>0.38541666666666669</v>
      </c>
      <c r="D51">
        <v>180.3</v>
      </c>
      <c r="E51">
        <v>84.8</v>
      </c>
      <c r="G51" s="6">
        <v>78.196242399999988</v>
      </c>
      <c r="H51" s="6">
        <v>6.6037575999999998</v>
      </c>
      <c r="I51">
        <v>48.3</v>
      </c>
      <c r="J51">
        <v>94.6</v>
      </c>
      <c r="K51">
        <v>30.5</v>
      </c>
      <c r="M51">
        <v>100</v>
      </c>
      <c r="N51">
        <v>59.5</v>
      </c>
      <c r="O51" s="6">
        <v>179.70499999999998</v>
      </c>
      <c r="P51" s="6"/>
      <c r="Q51">
        <v>40</v>
      </c>
      <c r="R51">
        <v>7.6</v>
      </c>
      <c r="S51">
        <v>7.8</v>
      </c>
      <c r="T51">
        <v>3.8</v>
      </c>
      <c r="U51">
        <v>12</v>
      </c>
      <c r="V51">
        <v>6.8</v>
      </c>
      <c r="W51">
        <v>14</v>
      </c>
      <c r="X51">
        <v>8.5</v>
      </c>
      <c r="Y51">
        <v>4.8</v>
      </c>
      <c r="Z51" s="6">
        <v>65.3</v>
      </c>
      <c r="AA51" s="6">
        <v>7.7874499999999998</v>
      </c>
      <c r="AB51" s="6">
        <f>Anthropometry[[#This Row],[Upper arm girth - R]]-(PI()*(Anthropometry[[#This Row],[Triceps]]/10))</f>
        <v>28.112389583271757</v>
      </c>
      <c r="AC51" s="6">
        <f>Anthropometry[[#This Row],[Mid-thighs]]-PI()*(Anthropometry[[#This Row],[Thigh]]/10)</f>
        <v>56.829646244448675</v>
      </c>
      <c r="AD51" s="6">
        <f>Anthropometry[[#This Row],[Mid-calf]]-PI()*(Anthropometry[[#This Row],[Calf]]/10)</f>
        <v>38.492035526276901</v>
      </c>
      <c r="AE51" s="6"/>
      <c r="AF51" s="6"/>
    </row>
    <row r="52" spans="1:32" ht="14.45">
      <c r="A52" t="s">
        <v>40</v>
      </c>
      <c r="B52" s="12">
        <v>42276</v>
      </c>
      <c r="C52" s="14">
        <v>0.38541666666666669</v>
      </c>
      <c r="D52" s="6">
        <v>182.1</v>
      </c>
      <c r="E52">
        <v>84.2</v>
      </c>
      <c r="G52" s="6">
        <v>77.660665940000001</v>
      </c>
      <c r="H52" s="6">
        <v>6.5393340600000007</v>
      </c>
      <c r="I52">
        <v>49.9</v>
      </c>
      <c r="J52">
        <v>94.5</v>
      </c>
      <c r="K52">
        <v>31.5</v>
      </c>
      <c r="M52">
        <v>101.3</v>
      </c>
      <c r="N52">
        <v>57.8</v>
      </c>
      <c r="O52" s="6">
        <v>177.39199999999994</v>
      </c>
      <c r="Q52">
        <v>35.4</v>
      </c>
      <c r="R52">
        <v>6</v>
      </c>
      <c r="S52">
        <v>11</v>
      </c>
      <c r="T52">
        <v>2.8</v>
      </c>
      <c r="U52">
        <v>11.2</v>
      </c>
      <c r="V52">
        <v>6.4</v>
      </c>
      <c r="W52">
        <v>15.5</v>
      </c>
      <c r="X52">
        <v>5.8</v>
      </c>
      <c r="Y52">
        <v>4.5999999999999996</v>
      </c>
      <c r="Z52">
        <v>63.3</v>
      </c>
      <c r="AA52" s="6">
        <v>7.7664299999999997</v>
      </c>
      <c r="AB52" s="6">
        <f>Anthropometry[[#This Row],[Upper arm girth - R]]-(PI()*(Anthropometry[[#This Row],[Triceps]]/10))</f>
        <v>29.615044407846124</v>
      </c>
      <c r="AC52" s="6">
        <f>Anthropometry[[#This Row],[Mid-thighs]]-PI()*(Anthropometry[[#This Row],[Thigh]]/10)</f>
        <v>55.977876260917917</v>
      </c>
      <c r="AD52" s="6">
        <f>Anthropometry[[#This Row],[Mid-calf]]-PI()*(Anthropometry[[#This Row],[Calf]]/10)</f>
        <v>33.954867379348691</v>
      </c>
      <c r="AE52" s="6"/>
      <c r="AF52" s="6"/>
    </row>
    <row r="53" spans="1:32" ht="14.45">
      <c r="A53" t="s">
        <v>42</v>
      </c>
      <c r="B53" s="12">
        <v>42277</v>
      </c>
      <c r="C53" s="14">
        <v>0.33333333333333331</v>
      </c>
      <c r="D53">
        <v>166.5</v>
      </c>
      <c r="E53">
        <v>68.7</v>
      </c>
      <c r="F53" s="6">
        <v>20.63063063063063</v>
      </c>
      <c r="G53" s="6">
        <v>59.434293600000004</v>
      </c>
      <c r="H53" s="6">
        <v>9.2657064000000009</v>
      </c>
      <c r="I53">
        <v>44.8</v>
      </c>
      <c r="J53">
        <v>83.8</v>
      </c>
      <c r="K53">
        <v>27</v>
      </c>
      <c r="M53">
        <v>100.9</v>
      </c>
      <c r="N53">
        <v>56</v>
      </c>
      <c r="O53" s="6">
        <v>151.82999999999998</v>
      </c>
      <c r="Q53">
        <v>37.799999999999997</v>
      </c>
      <c r="R53">
        <v>11</v>
      </c>
      <c r="S53">
        <v>7.2</v>
      </c>
      <c r="T53">
        <v>3.4</v>
      </c>
      <c r="U53">
        <v>8.8000000000000007</v>
      </c>
      <c r="V53">
        <v>7.4</v>
      </c>
      <c r="W53">
        <v>10.8</v>
      </c>
      <c r="X53">
        <v>14</v>
      </c>
      <c r="Y53">
        <v>13.6</v>
      </c>
      <c r="Z53">
        <v>76.199999999999989</v>
      </c>
      <c r="AA53" s="6">
        <v>13.4872</v>
      </c>
      <c r="AB53" s="6">
        <f>Anthropometry[[#This Row],[Upper arm girth - R]]-(PI()*(Anthropometry[[#This Row],[Triceps]]/10))</f>
        <v>23.544248081051226</v>
      </c>
      <c r="AC53" s="6">
        <f>Anthropometry[[#This Row],[Mid-thighs]]-PI()*(Anthropometry[[#This Row],[Thigh]]/10)</f>
        <v>51.601770284974293</v>
      </c>
      <c r="AD53" s="6">
        <f>Anthropometry[[#This Row],[Mid-calf]]-PI()*(Anthropometry[[#This Row],[Calf]]/10)</f>
        <v>33.527433991117881</v>
      </c>
      <c r="AE53" s="6"/>
      <c r="AF53" s="6"/>
    </row>
    <row r="54" spans="1:32" ht="14.45">
      <c r="A54" t="s">
        <v>42</v>
      </c>
      <c r="B54" s="12">
        <v>42281</v>
      </c>
      <c r="C54" s="14">
        <v>0.59722222222222221</v>
      </c>
      <c r="D54">
        <v>166.5</v>
      </c>
      <c r="E54">
        <v>68.400000000000006</v>
      </c>
      <c r="F54" s="6">
        <v>20.54054054054054</v>
      </c>
      <c r="G54" s="6">
        <v>58.962988799999998</v>
      </c>
      <c r="H54" s="6">
        <v>9.4370112000000006</v>
      </c>
      <c r="I54">
        <v>45.1</v>
      </c>
      <c r="J54">
        <v>85</v>
      </c>
      <c r="K54">
        <v>28.7</v>
      </c>
      <c r="M54">
        <v>99.1</v>
      </c>
      <c r="N54">
        <v>55.9</v>
      </c>
      <c r="O54" s="6">
        <v>151.36199999999997</v>
      </c>
      <c r="Q54">
        <v>37.4</v>
      </c>
      <c r="R54">
        <v>10.8</v>
      </c>
      <c r="S54">
        <v>7.8</v>
      </c>
      <c r="T54">
        <v>5.5</v>
      </c>
      <c r="U54">
        <v>13</v>
      </c>
      <c r="V54">
        <v>8.1999999999999993</v>
      </c>
      <c r="W54">
        <v>12</v>
      </c>
      <c r="X54">
        <v>14</v>
      </c>
      <c r="Y54">
        <v>13.2</v>
      </c>
      <c r="Z54">
        <v>84.5</v>
      </c>
      <c r="AA54" s="6">
        <v>13.796799999999999</v>
      </c>
      <c r="AB54" s="6">
        <f>Anthropometry[[#This Row],[Upper arm girth - R]]-(PI()*(Anthropometry[[#This Row],[Triceps]]/10))</f>
        <v>25.307079934123024</v>
      </c>
      <c r="AC54" s="6">
        <f>Anthropometry[[#This Row],[Mid-thighs]]-PI()*(Anthropometry[[#This Row],[Thigh]]/10)</f>
        <v>51.501770284974285</v>
      </c>
      <c r="AD54" s="6">
        <f>Anthropometry[[#This Row],[Mid-calf]]-PI()*(Anthropometry[[#This Row],[Calf]]/10)</f>
        <v>33.253097697261474</v>
      </c>
      <c r="AE54" s="6"/>
      <c r="AF54" s="6"/>
    </row>
    <row r="55" spans="1:32" ht="14.45">
      <c r="A55" t="s">
        <v>39</v>
      </c>
      <c r="B55" s="12">
        <v>42296</v>
      </c>
      <c r="C55" s="14">
        <v>4.1666666666666664E-2</v>
      </c>
      <c r="D55">
        <v>180.3</v>
      </c>
      <c r="E55">
        <v>84.4</v>
      </c>
      <c r="G55" s="6">
        <v>78.049153200000006</v>
      </c>
      <c r="H55" s="6">
        <v>6.3508468000000002</v>
      </c>
      <c r="I55">
        <v>48.2</v>
      </c>
      <c r="J55">
        <v>94</v>
      </c>
      <c r="K55">
        <v>30.5</v>
      </c>
      <c r="M55">
        <v>99.4</v>
      </c>
      <c r="N55">
        <v>60.2</v>
      </c>
      <c r="O55" s="6">
        <v>183.19</v>
      </c>
      <c r="P55" s="6"/>
      <c r="Q55">
        <v>40</v>
      </c>
      <c r="R55">
        <v>7.4</v>
      </c>
      <c r="S55">
        <v>7.3</v>
      </c>
      <c r="T55">
        <v>3.3</v>
      </c>
      <c r="U55">
        <v>10.9</v>
      </c>
      <c r="V55">
        <v>7.1</v>
      </c>
      <c r="W55">
        <v>12</v>
      </c>
      <c r="X55">
        <v>8.4</v>
      </c>
      <c r="Y55">
        <v>4.8</v>
      </c>
      <c r="Z55" s="6">
        <v>61.199999999999996</v>
      </c>
      <c r="AA55" s="6">
        <v>7.5246999999999993</v>
      </c>
      <c r="AB55" s="6">
        <f>Anthropometry[[#This Row],[Upper arm girth - R]]-(PI()*(Anthropometry[[#This Row],[Triceps]]/10))</f>
        <v>28.175221436343552</v>
      </c>
      <c r="AC55" s="6">
        <f>Anthropometry[[#This Row],[Mid-thighs]]-PI()*(Anthropometry[[#This Row],[Thigh]]/10)</f>
        <v>57.561062170984577</v>
      </c>
      <c r="AD55" s="6">
        <f>Anthropometry[[#This Row],[Mid-calf]]-PI()*(Anthropometry[[#This Row],[Calf]]/10)</f>
        <v>38.492035526276901</v>
      </c>
      <c r="AE55" s="6"/>
      <c r="AF55" s="6"/>
    </row>
    <row r="56" spans="1:32" ht="14.45">
      <c r="A56" t="s">
        <v>42</v>
      </c>
      <c r="B56" s="12">
        <v>42296</v>
      </c>
      <c r="C56" s="14">
        <v>0.5625</v>
      </c>
      <c r="D56">
        <v>166.5</v>
      </c>
      <c r="E56">
        <v>68.900000000000006</v>
      </c>
      <c r="F56" s="6">
        <v>20.69069069069069</v>
      </c>
      <c r="G56" s="6">
        <v>59.628650640000011</v>
      </c>
      <c r="H56" s="6">
        <v>9.2713493600000003</v>
      </c>
      <c r="I56">
        <v>44.7</v>
      </c>
      <c r="J56">
        <v>83.5</v>
      </c>
      <c r="K56">
        <v>28.2</v>
      </c>
      <c r="M56">
        <v>102</v>
      </c>
      <c r="N56">
        <v>57</v>
      </c>
      <c r="O56" s="6">
        <v>159.85399999999998</v>
      </c>
      <c r="Q56">
        <v>37.5</v>
      </c>
      <c r="R56">
        <v>12.2</v>
      </c>
      <c r="S56">
        <v>7.2</v>
      </c>
      <c r="T56">
        <v>4.0999999999999996</v>
      </c>
      <c r="U56">
        <v>10.9</v>
      </c>
      <c r="V56">
        <v>7.4</v>
      </c>
      <c r="W56">
        <v>11.8</v>
      </c>
      <c r="X56">
        <v>12.4</v>
      </c>
      <c r="Y56">
        <v>12.8</v>
      </c>
      <c r="Z56">
        <v>78.8</v>
      </c>
      <c r="AA56" s="6">
        <v>13.456239999999999</v>
      </c>
      <c r="AB56" s="6">
        <f>Anthropometry[[#This Row],[Upper arm girth - R]]-(PI()*(Anthropometry[[#This Row],[Triceps]]/10))</f>
        <v>24.367256962620452</v>
      </c>
      <c r="AC56" s="6">
        <f>Anthropometry[[#This Row],[Mid-thighs]]-PI()*(Anthropometry[[#This Row],[Thigh]]/10)</f>
        <v>53.104425109548657</v>
      </c>
      <c r="AD56" s="6">
        <f>Anthropometry[[#This Row],[Mid-calf]]-PI()*(Anthropometry[[#This Row],[Calf]]/10)</f>
        <v>33.478761403405066</v>
      </c>
      <c r="AE56" s="6"/>
      <c r="AF56" s="6"/>
    </row>
    <row r="57" spans="1:32" ht="14.45">
      <c r="A57" t="s">
        <v>40</v>
      </c>
      <c r="B57" s="12">
        <v>42296</v>
      </c>
      <c r="C57" s="14">
        <v>0.53541666666666665</v>
      </c>
      <c r="D57" s="6">
        <v>182.1</v>
      </c>
      <c r="E57">
        <v>83.6</v>
      </c>
      <c r="G57" s="6">
        <v>77.282991719999998</v>
      </c>
      <c r="H57" s="6">
        <v>6.3170082799999996</v>
      </c>
      <c r="I57">
        <v>49.7</v>
      </c>
      <c r="J57">
        <v>94.5</v>
      </c>
      <c r="K57">
        <v>31</v>
      </c>
      <c r="M57">
        <v>102</v>
      </c>
      <c r="N57">
        <v>59</v>
      </c>
      <c r="O57" s="6">
        <v>182.17199999999997</v>
      </c>
      <c r="Q57">
        <v>35</v>
      </c>
      <c r="R57">
        <v>6</v>
      </c>
      <c r="S57">
        <v>10.7</v>
      </c>
      <c r="T57">
        <v>2.6</v>
      </c>
      <c r="U57">
        <v>8.1999999999999993</v>
      </c>
      <c r="V57">
        <v>5.7</v>
      </c>
      <c r="W57">
        <v>14.5</v>
      </c>
      <c r="X57">
        <v>6.2</v>
      </c>
      <c r="Y57">
        <v>4.2</v>
      </c>
      <c r="Z57">
        <v>58.100000000000009</v>
      </c>
      <c r="AA57" s="6">
        <v>7.5562300000000002</v>
      </c>
      <c r="AB57" s="6">
        <f>Anthropometry[[#This Row],[Upper arm girth - R]]-(PI()*(Anthropometry[[#This Row],[Triceps]]/10))</f>
        <v>29.115044407846124</v>
      </c>
      <c r="AC57" s="6">
        <f>Anthropometry[[#This Row],[Mid-thighs]]-PI()*(Anthropometry[[#This Row],[Thigh]]/10)</f>
        <v>57.052212554774329</v>
      </c>
      <c r="AD57" s="6">
        <f>Anthropometry[[#This Row],[Mid-calf]]-PI()*(Anthropometry[[#This Row],[Calf]]/10)</f>
        <v>33.680531085492284</v>
      </c>
      <c r="AE57" s="6"/>
      <c r="AF57" s="6"/>
    </row>
    <row r="58" spans="1:32" ht="14.45">
      <c r="A58" t="s">
        <v>41</v>
      </c>
      <c r="B58" s="12">
        <v>42304</v>
      </c>
      <c r="C58" s="14">
        <v>0.3888888888888889</v>
      </c>
      <c r="D58">
        <v>177.4</v>
      </c>
      <c r="E58">
        <v>84.5</v>
      </c>
      <c r="G58" s="6">
        <v>78.461342700000003</v>
      </c>
      <c r="H58" s="6">
        <v>6.0386572999999997</v>
      </c>
      <c r="I58">
        <v>51.2</v>
      </c>
      <c r="J58">
        <v>98.5</v>
      </c>
      <c r="K58">
        <v>30.8</v>
      </c>
      <c r="M58">
        <v>99.3</v>
      </c>
      <c r="N58">
        <v>59.2</v>
      </c>
      <c r="O58" s="6">
        <v>183.52599999999995</v>
      </c>
      <c r="Q58">
        <v>37.200000000000003</v>
      </c>
      <c r="R58">
        <v>6.3</v>
      </c>
      <c r="S58">
        <v>8.8000000000000007</v>
      </c>
      <c r="T58">
        <v>3.8</v>
      </c>
      <c r="U58">
        <v>7.6</v>
      </c>
      <c r="V58">
        <v>5.8</v>
      </c>
      <c r="W58">
        <v>11</v>
      </c>
      <c r="X58">
        <v>6</v>
      </c>
      <c r="Y58">
        <v>5.5</v>
      </c>
      <c r="Z58">
        <v>54.8</v>
      </c>
      <c r="AA58" s="6">
        <v>7.1463400000000004</v>
      </c>
      <c r="AB58" s="6">
        <f>Anthropometry[[#This Row],[Upper arm girth - R]]-(PI()*(Anthropometry[[#This Row],[Triceps]]/10))</f>
        <v>28.82079662823843</v>
      </c>
      <c r="AC58" s="6">
        <f>Anthropometry[[#This Row],[Mid-thighs]]-PI()*(Anthropometry[[#This Row],[Thigh]]/10)</f>
        <v>57.315044407846131</v>
      </c>
      <c r="AD58" s="6">
        <f>Anthropometry[[#This Row],[Mid-calf]]-PI()*(Anthropometry[[#This Row],[Calf]]/10)</f>
        <v>35.472124040525614</v>
      </c>
      <c r="AE58" s="6"/>
      <c r="AF58" s="6"/>
    </row>
    <row r="59" spans="1:32" ht="14.45">
      <c r="A59" t="s">
        <v>39</v>
      </c>
      <c r="B59" s="12">
        <v>42321</v>
      </c>
      <c r="C59" s="14">
        <v>0.39444444444444443</v>
      </c>
      <c r="D59">
        <v>180.3</v>
      </c>
      <c r="E59">
        <v>82.2</v>
      </c>
      <c r="G59" s="6">
        <v>76.3170693</v>
      </c>
      <c r="H59" s="6">
        <v>5.8829307000000002</v>
      </c>
      <c r="I59">
        <v>48</v>
      </c>
      <c r="J59">
        <v>93.2</v>
      </c>
      <c r="K59">
        <v>30.2</v>
      </c>
      <c r="M59">
        <v>98.5</v>
      </c>
      <c r="N59">
        <v>59.2</v>
      </c>
      <c r="O59" s="6">
        <v>179.76399999999995</v>
      </c>
      <c r="P59" s="6"/>
      <c r="Q59">
        <v>39.6</v>
      </c>
      <c r="R59">
        <v>6.5</v>
      </c>
      <c r="S59">
        <v>7.4</v>
      </c>
      <c r="T59">
        <v>3.5</v>
      </c>
      <c r="U59">
        <v>10.1</v>
      </c>
      <c r="V59">
        <v>6.5</v>
      </c>
      <c r="W59">
        <v>10.5</v>
      </c>
      <c r="X59">
        <v>7.8</v>
      </c>
      <c r="Y59">
        <v>4.8</v>
      </c>
      <c r="Z59" s="6">
        <v>57.099999999999994</v>
      </c>
      <c r="AA59" s="6">
        <v>7.1568499999999995</v>
      </c>
      <c r="AB59" s="6">
        <f>Anthropometry[[#This Row],[Upper arm girth - R]]-(PI()*(Anthropometry[[#This Row],[Triceps]]/10))</f>
        <v>28.157964775166633</v>
      </c>
      <c r="AC59" s="6">
        <f>Anthropometry[[#This Row],[Mid-thighs]]-PI()*(Anthropometry[[#This Row],[Thigh]]/10)</f>
        <v>56.749557730199967</v>
      </c>
      <c r="AD59" s="6">
        <f>Anthropometry[[#This Row],[Mid-calf]]-PI()*(Anthropometry[[#This Row],[Calf]]/10)</f>
        <v>38.092035526276902</v>
      </c>
      <c r="AE59" s="6"/>
      <c r="AF59" s="6"/>
    </row>
    <row r="60" spans="1:32" ht="14.45">
      <c r="A60" t="s">
        <v>42</v>
      </c>
      <c r="B60" s="12">
        <v>42321</v>
      </c>
      <c r="C60" s="14">
        <v>0.40625</v>
      </c>
      <c r="D60">
        <v>166.5</v>
      </c>
      <c r="E60">
        <v>68.5</v>
      </c>
      <c r="F60" s="6">
        <v>20.57057057057057</v>
      </c>
      <c r="G60" s="6">
        <v>59.335494600000004</v>
      </c>
      <c r="H60" s="6">
        <v>9.1645053999999995</v>
      </c>
      <c r="I60">
        <v>45</v>
      </c>
      <c r="J60">
        <v>83</v>
      </c>
      <c r="K60">
        <v>27.5</v>
      </c>
      <c r="M60">
        <v>100</v>
      </c>
      <c r="N60">
        <v>56.5</v>
      </c>
      <c r="O60" s="6">
        <v>155.42399999999998</v>
      </c>
      <c r="Q60">
        <v>37.1</v>
      </c>
      <c r="R60">
        <v>10.5</v>
      </c>
      <c r="S60">
        <v>7.8</v>
      </c>
      <c r="T60">
        <v>4.0999999999999996</v>
      </c>
      <c r="U60">
        <v>10</v>
      </c>
      <c r="V60">
        <v>7.6</v>
      </c>
      <c r="W60">
        <v>12</v>
      </c>
      <c r="X60">
        <v>13.4</v>
      </c>
      <c r="Y60">
        <v>12</v>
      </c>
      <c r="Z60">
        <v>77.400000000000006</v>
      </c>
      <c r="AA60" s="6">
        <v>13.378839999999999</v>
      </c>
      <c r="AB60" s="6">
        <f>Anthropometry[[#This Row],[Upper arm girth - R]]-(PI()*(Anthropometry[[#This Row],[Triceps]]/10))</f>
        <v>24.201327713730716</v>
      </c>
      <c r="AC60" s="6">
        <f>Anthropometry[[#This Row],[Mid-thighs]]-PI()*(Anthropometry[[#This Row],[Thigh]]/10)</f>
        <v>52.290265844189676</v>
      </c>
      <c r="AD60" s="6">
        <f>Anthropometry[[#This Row],[Mid-calf]]-PI()*(Anthropometry[[#This Row],[Calf]]/10)</f>
        <v>33.33008881569225</v>
      </c>
      <c r="AE60" s="6"/>
      <c r="AF60" s="6"/>
    </row>
    <row r="61" spans="1:32" ht="14.45">
      <c r="A61" t="s">
        <v>40</v>
      </c>
      <c r="B61" s="12">
        <v>42321</v>
      </c>
      <c r="C61" s="14">
        <v>0.38750000000000001</v>
      </c>
      <c r="D61" s="6">
        <v>182.1</v>
      </c>
      <c r="E61">
        <v>82.7</v>
      </c>
      <c r="G61" s="6">
        <v>76.720442660000003</v>
      </c>
      <c r="H61" s="6">
        <v>5.9795573400000004</v>
      </c>
      <c r="I61">
        <v>49.4</v>
      </c>
      <c r="J61">
        <v>93.5</v>
      </c>
      <c r="K61">
        <v>30</v>
      </c>
      <c r="M61">
        <v>99</v>
      </c>
      <c r="N61">
        <v>58</v>
      </c>
      <c r="O61" s="6">
        <v>179.16399999999999</v>
      </c>
      <c r="Q61">
        <v>34.700000000000003</v>
      </c>
      <c r="R61">
        <v>5.8</v>
      </c>
      <c r="S61">
        <v>10.199999999999999</v>
      </c>
      <c r="T61">
        <v>3.1</v>
      </c>
      <c r="U61">
        <v>8.1999999999999993</v>
      </c>
      <c r="V61">
        <v>5.6</v>
      </c>
      <c r="W61">
        <v>13.2</v>
      </c>
      <c r="X61">
        <v>5.4</v>
      </c>
      <c r="Y61">
        <v>4</v>
      </c>
      <c r="Z61">
        <v>55.499999999999993</v>
      </c>
      <c r="AA61" s="6">
        <v>7.2304199999999996</v>
      </c>
      <c r="AB61" s="6">
        <f>Anthropometry[[#This Row],[Upper arm girth - R]]-(PI()*(Anthropometry[[#This Row],[Triceps]]/10))</f>
        <v>28.17787626091792</v>
      </c>
      <c r="AC61" s="6">
        <f>Anthropometry[[#This Row],[Mid-thighs]]-PI()*(Anthropometry[[#This Row],[Thigh]]/10)</f>
        <v>56.303539967061511</v>
      </c>
      <c r="AD61" s="6">
        <f>Anthropometry[[#This Row],[Mid-calf]]-PI()*(Anthropometry[[#This Row],[Calf]]/10)</f>
        <v>33.443362938564086</v>
      </c>
      <c r="AE61" s="6"/>
      <c r="AF61" s="6"/>
    </row>
    <row r="62" spans="1:32" ht="14.45">
      <c r="A62" t="s">
        <v>43</v>
      </c>
      <c r="B62" s="12">
        <v>43293</v>
      </c>
      <c r="C62" s="14">
        <v>0.375</v>
      </c>
      <c r="D62">
        <v>176.5</v>
      </c>
      <c r="E62">
        <v>71.599999999999994</v>
      </c>
      <c r="G62" s="13">
        <v>61.821244319999991</v>
      </c>
      <c r="H62" s="6">
        <v>9.7787556799999997</v>
      </c>
      <c r="J62">
        <v>86</v>
      </c>
      <c r="K62">
        <v>28.3</v>
      </c>
      <c r="M62">
        <v>99</v>
      </c>
      <c r="N62">
        <v>54.8</v>
      </c>
      <c r="O62" s="6">
        <v>137.01800000000003</v>
      </c>
      <c r="P62">
        <v>43.5</v>
      </c>
      <c r="Q62">
        <v>38.1</v>
      </c>
      <c r="R62">
        <v>12.9</v>
      </c>
      <c r="S62">
        <v>8.1999999999999993</v>
      </c>
      <c r="T62">
        <v>4</v>
      </c>
      <c r="U62">
        <v>8.8000000000000007</v>
      </c>
      <c r="V62">
        <v>5.6</v>
      </c>
      <c r="W62">
        <v>10.199999999999999</v>
      </c>
      <c r="X62">
        <v>18.399999999999999</v>
      </c>
      <c r="Y62">
        <v>9.8000000000000007</v>
      </c>
      <c r="Z62">
        <v>77.899999999999991</v>
      </c>
      <c r="AA62" s="6">
        <v>13.657480000000001</v>
      </c>
      <c r="AB62" s="6">
        <f>Anthropometry[[#This Row],[Upper arm girth - R]]-(PI()*(Anthropometry[[#This Row],[Triceps]]/10))</f>
        <v>24.247345476869167</v>
      </c>
      <c r="AC62" s="6">
        <f>Anthropometry[[#This Row],[Mid-thighs]]-PI()*(Anthropometry[[#This Row],[Thigh]]/10)</f>
        <v>49.019469517394782</v>
      </c>
      <c r="AD62" s="6">
        <f>Anthropometry[[#This Row],[Mid-calf]]-PI()*(Anthropometry[[#This Row],[Calf]]/10)</f>
        <v>35.021239199482004</v>
      </c>
      <c r="AE62" s="6"/>
      <c r="AF62" s="6"/>
    </row>
    <row r="63" spans="1:32" ht="14.45">
      <c r="A63" t="s">
        <v>42</v>
      </c>
      <c r="B63" s="12">
        <v>42339</v>
      </c>
      <c r="C63" s="14">
        <v>0.375</v>
      </c>
      <c r="D63">
        <v>166.5</v>
      </c>
      <c r="E63">
        <v>68.8</v>
      </c>
      <c r="F63" s="6">
        <v>20.66066066066066</v>
      </c>
      <c r="G63" s="6">
        <v>59.606008319999994</v>
      </c>
      <c r="H63" s="6">
        <v>9.1939916799999999</v>
      </c>
      <c r="I63">
        <v>45</v>
      </c>
      <c r="J63">
        <v>83</v>
      </c>
      <c r="K63">
        <v>28.8</v>
      </c>
      <c r="M63">
        <v>100.9</v>
      </c>
      <c r="N63">
        <v>56.5</v>
      </c>
      <c r="O63" s="6">
        <v>156.26</v>
      </c>
      <c r="Q63">
        <v>37.5</v>
      </c>
      <c r="R63">
        <v>10.5</v>
      </c>
      <c r="S63">
        <v>7.8</v>
      </c>
      <c r="T63">
        <v>4.4000000000000004</v>
      </c>
      <c r="U63">
        <v>10</v>
      </c>
      <c r="V63">
        <v>7.7</v>
      </c>
      <c r="W63">
        <v>11.2</v>
      </c>
      <c r="X63">
        <v>13</v>
      </c>
      <c r="Y63">
        <v>13</v>
      </c>
      <c r="Z63">
        <v>77.600000000000009</v>
      </c>
      <c r="AA63" s="6">
        <v>13.36336</v>
      </c>
      <c r="AB63" s="6">
        <f>Anthropometry[[#This Row],[Upper arm girth - R]]-(PI()*(Anthropometry[[#This Row],[Triceps]]/10))</f>
        <v>25.501327713730717</v>
      </c>
      <c r="AC63" s="6">
        <f>Anthropometry[[#This Row],[Mid-thighs]]-PI()*(Anthropometry[[#This Row],[Thigh]]/10)</f>
        <v>52.415929550333267</v>
      </c>
      <c r="AD63" s="6">
        <f>Anthropometry[[#This Row],[Mid-calf]]-PI()*(Anthropometry[[#This Row],[Calf]]/10)</f>
        <v>33.415929550333267</v>
      </c>
      <c r="AE63" s="6"/>
      <c r="AF63" s="6"/>
    </row>
    <row r="64" spans="1:32" ht="14.45">
      <c r="A64" t="s">
        <v>39</v>
      </c>
      <c r="B64" s="12">
        <v>42353</v>
      </c>
      <c r="C64" s="14">
        <v>0.3833333333333333</v>
      </c>
      <c r="D64">
        <v>180.3</v>
      </c>
      <c r="E64">
        <v>83.3</v>
      </c>
      <c r="G64" s="6">
        <v>77.285814970000004</v>
      </c>
      <c r="H64" s="6">
        <v>6.0141850300000002</v>
      </c>
      <c r="I64">
        <v>48.1</v>
      </c>
      <c r="J64">
        <v>95.6</v>
      </c>
      <c r="K64">
        <v>29.8</v>
      </c>
      <c r="M64">
        <v>99.5</v>
      </c>
      <c r="N64">
        <v>59.5</v>
      </c>
      <c r="O64" s="6">
        <v>178.45099999999996</v>
      </c>
      <c r="P64" s="6"/>
      <c r="Q64">
        <v>39.5</v>
      </c>
      <c r="R64">
        <v>7.1</v>
      </c>
      <c r="S64">
        <v>7.5</v>
      </c>
      <c r="T64">
        <v>3.5</v>
      </c>
      <c r="U64">
        <v>9.8000000000000007</v>
      </c>
      <c r="V64">
        <v>5.8</v>
      </c>
      <c r="W64">
        <v>10.1</v>
      </c>
      <c r="X64">
        <v>9.1</v>
      </c>
      <c r="Y64">
        <v>4.5</v>
      </c>
      <c r="Z64" s="6">
        <v>57.400000000000006</v>
      </c>
      <c r="AA64" s="6">
        <v>7.2199100000000005</v>
      </c>
      <c r="AB64" s="6">
        <f>Anthropometry[[#This Row],[Upper arm girth - R]]-(PI()*(Anthropometry[[#This Row],[Triceps]]/10))</f>
        <v>27.569469215951248</v>
      </c>
      <c r="AC64" s="6">
        <f>Anthropometry[[#This Row],[Mid-thighs]]-PI()*(Anthropometry[[#This Row],[Thigh]]/10)</f>
        <v>56.641150685233285</v>
      </c>
      <c r="AD64" s="6">
        <f>Anthropometry[[#This Row],[Mid-calf]]-PI()*(Anthropometry[[#This Row],[Calf]]/10)</f>
        <v>38.086283305884592</v>
      </c>
      <c r="AE64" s="6"/>
      <c r="AF64" s="6"/>
    </row>
    <row r="65" spans="1:32" ht="14.45">
      <c r="A65" t="s">
        <v>43</v>
      </c>
      <c r="B65" s="12">
        <v>43355</v>
      </c>
      <c r="C65" s="14">
        <v>0.375</v>
      </c>
      <c r="D65">
        <v>175.9</v>
      </c>
      <c r="E65">
        <v>73.5</v>
      </c>
      <c r="F65" s="6">
        <v>23.755034208865247</v>
      </c>
      <c r="G65" s="13">
        <v>63.541396799999994</v>
      </c>
      <c r="H65" s="6">
        <v>9.9586032000000007</v>
      </c>
      <c r="J65">
        <v>89</v>
      </c>
      <c r="K65">
        <v>28</v>
      </c>
      <c r="M65">
        <v>100</v>
      </c>
      <c r="N65">
        <v>53</v>
      </c>
      <c r="O65" s="6">
        <v>130.26600000000002</v>
      </c>
      <c r="P65">
        <v>42.5</v>
      </c>
      <c r="Q65">
        <v>38.5</v>
      </c>
      <c r="R65">
        <v>11.6</v>
      </c>
      <c r="S65">
        <v>8.6</v>
      </c>
      <c r="T65">
        <v>3.8</v>
      </c>
      <c r="U65">
        <v>8.5</v>
      </c>
      <c r="V65">
        <v>6</v>
      </c>
      <c r="W65">
        <v>10.4</v>
      </c>
      <c r="X65">
        <v>17.600000000000001</v>
      </c>
      <c r="Y65">
        <v>10.199999999999999</v>
      </c>
      <c r="Z65">
        <v>76.7</v>
      </c>
      <c r="AA65" s="6">
        <v>13.54912</v>
      </c>
      <c r="AB65" s="6">
        <f>Anthropometry[[#This Row],[Upper arm girth - R]]-(PI()*(Anthropometry[[#This Row],[Triceps]]/10))</f>
        <v>24.355752521835839</v>
      </c>
      <c r="AC65" s="6">
        <f>Anthropometry[[#This Row],[Mid-thighs]]-PI()*(Anthropometry[[#This Row],[Thigh]]/10)</f>
        <v>47.470796929681967</v>
      </c>
      <c r="AD65" s="6">
        <f>Anthropometry[[#This Row],[Mid-calf]]-PI()*(Anthropometry[[#This Row],[Calf]]/10)</f>
        <v>35.295575493338411</v>
      </c>
      <c r="AE65" s="6"/>
      <c r="AF65" s="6"/>
    </row>
    <row r="66" spans="1:32" ht="14.45">
      <c r="A66" t="s">
        <v>40</v>
      </c>
      <c r="B66" s="12">
        <v>42353</v>
      </c>
      <c r="C66" s="14">
        <v>0.39513888888888887</v>
      </c>
      <c r="D66" s="6">
        <v>182.1</v>
      </c>
      <c r="E66">
        <v>83.9</v>
      </c>
      <c r="G66" s="6">
        <v>77.868949180000016</v>
      </c>
      <c r="H66" s="6">
        <v>6.0310508200000008</v>
      </c>
      <c r="I66">
        <v>48.9</v>
      </c>
      <c r="J66">
        <v>94.5</v>
      </c>
      <c r="K66">
        <v>30.2</v>
      </c>
      <c r="M66">
        <v>101.5</v>
      </c>
      <c r="N66">
        <v>57.8</v>
      </c>
      <c r="O66" s="6">
        <v>179.27299999999997</v>
      </c>
      <c r="Q66">
        <v>35</v>
      </c>
      <c r="R66">
        <v>5.8</v>
      </c>
      <c r="S66">
        <v>10.8</v>
      </c>
      <c r="T66">
        <v>2.8</v>
      </c>
      <c r="U66">
        <v>8.5</v>
      </c>
      <c r="V66">
        <v>5.8</v>
      </c>
      <c r="W66">
        <v>12.3</v>
      </c>
      <c r="X66">
        <v>4.9000000000000004</v>
      </c>
      <c r="Y66">
        <v>4.2</v>
      </c>
      <c r="Z66">
        <v>55.1</v>
      </c>
      <c r="AA66" s="6">
        <v>7.1883800000000004</v>
      </c>
      <c r="AB66" s="6">
        <f>Anthropometry[[#This Row],[Upper arm girth - R]]-(PI()*(Anthropometry[[#This Row],[Triceps]]/10))</f>
        <v>28.377876260917919</v>
      </c>
      <c r="AC66" s="6">
        <f>Anthropometry[[#This Row],[Mid-thighs]]-PI()*(Anthropometry[[#This Row],[Thigh]]/10)</f>
        <v>56.260619599740998</v>
      </c>
      <c r="AD66" s="6">
        <f>Anthropometry[[#This Row],[Mid-calf]]-PI()*(Anthropometry[[#This Row],[Calf]]/10)</f>
        <v>33.680531085492284</v>
      </c>
      <c r="AE66" s="6"/>
      <c r="AF66" s="6"/>
    </row>
    <row r="67" spans="1:32" ht="14.45">
      <c r="A67" t="s">
        <v>41</v>
      </c>
      <c r="B67" s="12">
        <v>42355</v>
      </c>
      <c r="C67" s="14">
        <v>0.35416666666666669</v>
      </c>
      <c r="D67">
        <v>177.4</v>
      </c>
      <c r="E67">
        <v>85</v>
      </c>
      <c r="G67" s="6">
        <v>79.166815499999998</v>
      </c>
      <c r="H67" s="6">
        <v>5.8331844999999998</v>
      </c>
      <c r="I67">
        <v>51.2</v>
      </c>
      <c r="J67">
        <v>95.5</v>
      </c>
      <c r="K67">
        <v>31.5</v>
      </c>
      <c r="M67">
        <v>99.1</v>
      </c>
      <c r="N67">
        <v>58.5</v>
      </c>
      <c r="O67" s="6">
        <v>181.29499999999996</v>
      </c>
      <c r="Q67">
        <v>37</v>
      </c>
      <c r="R67">
        <v>6.5</v>
      </c>
      <c r="S67">
        <v>7.9</v>
      </c>
      <c r="T67">
        <v>3.2</v>
      </c>
      <c r="U67">
        <v>9.4</v>
      </c>
      <c r="V67">
        <v>6</v>
      </c>
      <c r="W67">
        <v>9.5</v>
      </c>
      <c r="X67">
        <v>5.5</v>
      </c>
      <c r="Y67">
        <v>5.3</v>
      </c>
      <c r="Z67">
        <v>53.3</v>
      </c>
      <c r="AA67" s="6">
        <v>6.8625699999999998</v>
      </c>
      <c r="AB67" s="6">
        <f>Anthropometry[[#This Row],[Upper arm girth - R]]-(PI()*(Anthropometry[[#This Row],[Triceps]]/10))</f>
        <v>29.457964775166634</v>
      </c>
      <c r="AC67" s="6">
        <f>Anthropometry[[#This Row],[Mid-thighs]]-PI()*(Anthropometry[[#This Row],[Thigh]]/10)</f>
        <v>56.772124040525611</v>
      </c>
      <c r="AD67" s="6">
        <f>Anthropometry[[#This Row],[Mid-calf]]-PI()*(Anthropometry[[#This Row],[Calf]]/10)</f>
        <v>35.33495589359741</v>
      </c>
      <c r="AE67" s="6"/>
      <c r="AF67" s="6"/>
    </row>
    <row r="68" spans="1:32" ht="14.45">
      <c r="A68" t="s">
        <v>42</v>
      </c>
      <c r="B68" s="12">
        <v>42355</v>
      </c>
      <c r="C68" s="14">
        <v>0.39583333333333331</v>
      </c>
      <c r="D68">
        <v>166.5</v>
      </c>
      <c r="E68">
        <v>69.099999999999994</v>
      </c>
      <c r="F68" s="6">
        <v>20.750750750750747</v>
      </c>
      <c r="G68" s="6">
        <v>59.641287959999993</v>
      </c>
      <c r="H68" s="6">
        <v>9.45871204</v>
      </c>
      <c r="I68">
        <v>44.5</v>
      </c>
      <c r="J68">
        <v>82.5</v>
      </c>
      <c r="K68">
        <v>28</v>
      </c>
      <c r="M68">
        <v>99.2</v>
      </c>
      <c r="N68">
        <v>55.5</v>
      </c>
      <c r="O68" s="6">
        <v>148.23599999999999</v>
      </c>
      <c r="Q68">
        <v>37.200000000000003</v>
      </c>
      <c r="R68">
        <v>12</v>
      </c>
      <c r="S68">
        <v>8</v>
      </c>
      <c r="T68">
        <v>4</v>
      </c>
      <c r="U68">
        <v>11.8</v>
      </c>
      <c r="V68">
        <v>7.2</v>
      </c>
      <c r="W68">
        <v>11</v>
      </c>
      <c r="X68">
        <v>14.6</v>
      </c>
      <c r="Y68">
        <v>12.5</v>
      </c>
      <c r="Z68">
        <v>81.099999999999994</v>
      </c>
      <c r="AA68" s="6">
        <v>13.688440000000002</v>
      </c>
      <c r="AB68" s="6">
        <f>Anthropometry[[#This Row],[Upper arm girth - R]]-(PI()*(Anthropometry[[#This Row],[Triceps]]/10))</f>
        <v>24.230088815692248</v>
      </c>
      <c r="AC68" s="6">
        <f>Anthropometry[[#This Row],[Mid-thighs]]-PI()*(Anthropometry[[#This Row],[Thigh]]/10)</f>
        <v>50.913274725758903</v>
      </c>
      <c r="AD68" s="6">
        <f>Anthropometry[[#This Row],[Mid-calf]]-PI()*(Anthropometry[[#This Row],[Calf]]/10)</f>
        <v>33.273009183012761</v>
      </c>
      <c r="AE68" s="6"/>
      <c r="AF68" s="6"/>
    </row>
    <row r="69" spans="1:32" ht="14.45">
      <c r="A69" t="s">
        <v>39</v>
      </c>
      <c r="B69" s="12">
        <v>42383</v>
      </c>
      <c r="C69" s="14">
        <v>0.375</v>
      </c>
      <c r="D69">
        <v>180.3</v>
      </c>
      <c r="E69">
        <v>82.6</v>
      </c>
      <c r="G69" s="6">
        <v>77.027011039999991</v>
      </c>
      <c r="H69" s="6">
        <v>5.57298896</v>
      </c>
      <c r="I69">
        <v>47.6</v>
      </c>
      <c r="J69">
        <v>93.5</v>
      </c>
      <c r="K69">
        <v>31</v>
      </c>
      <c r="M69">
        <v>98.3</v>
      </c>
      <c r="N69">
        <v>59.5</v>
      </c>
      <c r="O69" s="6">
        <v>182.42199999999997</v>
      </c>
      <c r="P69" s="6"/>
      <c r="Q69">
        <v>39.5</v>
      </c>
      <c r="R69">
        <v>6.4</v>
      </c>
      <c r="S69">
        <v>7</v>
      </c>
      <c r="T69">
        <v>3.1</v>
      </c>
      <c r="U69">
        <v>10.8</v>
      </c>
      <c r="V69">
        <v>5.3</v>
      </c>
      <c r="W69">
        <v>9.1</v>
      </c>
      <c r="X69">
        <v>7.2</v>
      </c>
      <c r="Y69">
        <v>4.5999999999999996</v>
      </c>
      <c r="Z69" s="6">
        <v>53.500000000000007</v>
      </c>
      <c r="AA69" s="6">
        <v>6.7469600000000005</v>
      </c>
      <c r="AB69" s="6">
        <f>Anthropometry[[#This Row],[Upper arm girth - R]]-(PI()*(Anthropometry[[#This Row],[Triceps]]/10))</f>
        <v>28.989380701702533</v>
      </c>
      <c r="AC69" s="6">
        <f>Anthropometry[[#This Row],[Mid-thighs]]-PI()*(Anthropometry[[#This Row],[Thigh]]/10)</f>
        <v>57.238053289415348</v>
      </c>
      <c r="AD69" s="6">
        <f>Anthropometry[[#This Row],[Mid-calf]]-PI()*(Anthropometry[[#This Row],[Calf]]/10)</f>
        <v>38.054867379348693</v>
      </c>
      <c r="AE69" s="6"/>
      <c r="AF69" s="6"/>
    </row>
    <row r="70" spans="1:32" ht="14.45">
      <c r="A70" t="s">
        <v>40</v>
      </c>
      <c r="B70" s="12">
        <v>42383</v>
      </c>
      <c r="C70" s="14">
        <v>0.375</v>
      </c>
      <c r="D70" s="6">
        <v>182.1</v>
      </c>
      <c r="E70">
        <v>83.8</v>
      </c>
      <c r="G70" s="6">
        <v>77.670449000000005</v>
      </c>
      <c r="H70" s="6">
        <v>6.1295509999999993</v>
      </c>
      <c r="I70">
        <v>50</v>
      </c>
      <c r="J70">
        <v>95.6</v>
      </c>
      <c r="K70">
        <v>31</v>
      </c>
      <c r="M70">
        <v>100.8</v>
      </c>
      <c r="N70">
        <v>58.2</v>
      </c>
      <c r="O70" s="6">
        <v>180.93599999999998</v>
      </c>
      <c r="Q70">
        <v>35</v>
      </c>
      <c r="R70">
        <v>5.7</v>
      </c>
      <c r="S70">
        <v>10.4</v>
      </c>
      <c r="T70">
        <v>2.9</v>
      </c>
      <c r="U70">
        <v>8.8000000000000007</v>
      </c>
      <c r="V70">
        <v>5.7</v>
      </c>
      <c r="W70">
        <v>14</v>
      </c>
      <c r="X70">
        <v>5</v>
      </c>
      <c r="Y70">
        <v>4.2</v>
      </c>
      <c r="Z70">
        <v>56.7</v>
      </c>
      <c r="AA70" s="6">
        <v>7.3144999999999998</v>
      </c>
      <c r="AB70" s="6">
        <f>Anthropometry[[#This Row],[Upper arm girth - R]]-(PI()*(Anthropometry[[#This Row],[Triceps]]/10))</f>
        <v>29.209292187453819</v>
      </c>
      <c r="AC70" s="6">
        <f>Anthropometry[[#This Row],[Mid-thighs]]-PI()*(Anthropometry[[#This Row],[Thigh]]/10)</f>
        <v>56.629203673205105</v>
      </c>
      <c r="AD70" s="6">
        <f>Anthropometry[[#This Row],[Mid-calf]]-PI()*(Anthropometry[[#This Row],[Calf]]/10)</f>
        <v>33.680531085492284</v>
      </c>
      <c r="AE70" s="6"/>
      <c r="AF70" s="6"/>
    </row>
    <row r="71" spans="1:32" ht="14.45">
      <c r="A71" t="s">
        <v>39</v>
      </c>
      <c r="B71" s="12">
        <v>42405</v>
      </c>
      <c r="C71" s="14">
        <v>0.37847222222222227</v>
      </c>
      <c r="D71">
        <v>180.3</v>
      </c>
      <c r="E71">
        <v>83.3</v>
      </c>
      <c r="G71" s="6">
        <v>77.627253339999996</v>
      </c>
      <c r="H71" s="6">
        <v>5.6727466600000005</v>
      </c>
      <c r="I71">
        <v>48</v>
      </c>
      <c r="J71">
        <v>94.5</v>
      </c>
      <c r="K71">
        <v>31.5</v>
      </c>
      <c r="M71">
        <v>100</v>
      </c>
      <c r="N71">
        <v>59.6</v>
      </c>
      <c r="O71" s="6">
        <v>182.26299999999998</v>
      </c>
      <c r="P71" s="6"/>
      <c r="Q71">
        <v>39.799999999999997</v>
      </c>
      <c r="R71">
        <v>6.8</v>
      </c>
      <c r="S71">
        <v>7</v>
      </c>
      <c r="T71">
        <v>3.3</v>
      </c>
      <c r="U71">
        <v>8.1999999999999993</v>
      </c>
      <c r="V71">
        <v>5.2</v>
      </c>
      <c r="W71">
        <v>9.1999999999999993</v>
      </c>
      <c r="X71">
        <v>7.5</v>
      </c>
      <c r="Y71">
        <v>4.5</v>
      </c>
      <c r="Z71" s="6">
        <v>51.7</v>
      </c>
      <c r="AA71" s="6">
        <v>6.8100200000000006</v>
      </c>
      <c r="AB71" s="6">
        <f>Anthropometry[[#This Row],[Upper arm girth - R]]-(PI()*(Anthropometry[[#This Row],[Triceps]]/10))</f>
        <v>29.363716995558942</v>
      </c>
      <c r="AC71" s="6">
        <f>Anthropometry[[#This Row],[Mid-thighs]]-PI()*(Anthropometry[[#This Row],[Thigh]]/10)</f>
        <v>57.243805509807657</v>
      </c>
      <c r="AD71" s="6">
        <f>Anthropometry[[#This Row],[Mid-calf]]-PI()*(Anthropometry[[#This Row],[Calf]]/10)</f>
        <v>38.386283305884589</v>
      </c>
      <c r="AE71" s="6"/>
      <c r="AF71" s="6"/>
    </row>
    <row r="72" spans="1:32" ht="14.45">
      <c r="A72" t="s">
        <v>41</v>
      </c>
      <c r="B72" s="12">
        <v>42405</v>
      </c>
      <c r="C72" s="14">
        <v>0.36458333333333331</v>
      </c>
      <c r="D72">
        <v>177.4</v>
      </c>
      <c r="E72">
        <v>85.7</v>
      </c>
      <c r="G72" s="6">
        <v>79.71969974000001</v>
      </c>
      <c r="H72" s="6">
        <v>5.9803002599999999</v>
      </c>
      <c r="I72">
        <v>51</v>
      </c>
      <c r="J72">
        <v>96.5</v>
      </c>
      <c r="K72">
        <v>31</v>
      </c>
      <c r="M72">
        <v>100</v>
      </c>
      <c r="N72">
        <v>59</v>
      </c>
      <c r="O72" s="6">
        <v>183.84399999999999</v>
      </c>
      <c r="Q72">
        <v>37.5</v>
      </c>
      <c r="R72">
        <v>7.9</v>
      </c>
      <c r="S72">
        <v>8</v>
      </c>
      <c r="T72">
        <v>3.7</v>
      </c>
      <c r="U72">
        <v>8.6</v>
      </c>
      <c r="V72">
        <v>5.2</v>
      </c>
      <c r="W72">
        <v>9.8000000000000007</v>
      </c>
      <c r="X72">
        <v>5.4</v>
      </c>
      <c r="Y72">
        <v>5.5</v>
      </c>
      <c r="Z72">
        <v>54.1</v>
      </c>
      <c r="AA72" s="6">
        <v>6.97818</v>
      </c>
      <c r="AB72" s="6">
        <f>Anthropometry[[#This Row],[Upper arm girth - R]]-(PI()*(Anthropometry[[#This Row],[Triceps]]/10))</f>
        <v>28.518141803664065</v>
      </c>
      <c r="AC72" s="6">
        <f>Anthropometry[[#This Row],[Mid-thighs]]-PI()*(Anthropometry[[#This Row],[Thigh]]/10)</f>
        <v>57.303539967061511</v>
      </c>
      <c r="AD72" s="6">
        <f>Anthropometry[[#This Row],[Mid-calf]]-PI()*(Anthropometry[[#This Row],[Calf]]/10)</f>
        <v>35.772124040525611</v>
      </c>
      <c r="AE72" s="6"/>
      <c r="AF72" s="6"/>
    </row>
    <row r="73" spans="1:32" ht="14.45">
      <c r="A73" t="s">
        <v>42</v>
      </c>
      <c r="B73" s="12">
        <v>42405</v>
      </c>
      <c r="C73" s="14">
        <v>0.4375</v>
      </c>
      <c r="D73">
        <v>166.5</v>
      </c>
      <c r="E73">
        <v>68.5</v>
      </c>
      <c r="F73" s="6">
        <v>20.57057057057057</v>
      </c>
      <c r="G73" s="6">
        <v>59.664212400000004</v>
      </c>
      <c r="H73" s="6">
        <v>8.8357875999999997</v>
      </c>
      <c r="I73">
        <v>45</v>
      </c>
      <c r="J73">
        <v>83</v>
      </c>
      <c r="K73">
        <v>28</v>
      </c>
      <c r="M73">
        <v>99.7</v>
      </c>
      <c r="N73">
        <v>56</v>
      </c>
      <c r="O73" s="6">
        <v>153.084</v>
      </c>
      <c r="Q73">
        <v>37</v>
      </c>
      <c r="R73">
        <v>11.6</v>
      </c>
      <c r="S73">
        <v>7.4</v>
      </c>
      <c r="T73">
        <v>4.2</v>
      </c>
      <c r="U73">
        <v>9.5</v>
      </c>
      <c r="V73">
        <v>6.4</v>
      </c>
      <c r="W73">
        <v>9</v>
      </c>
      <c r="X73">
        <v>13.4</v>
      </c>
      <c r="Y73">
        <v>12.4</v>
      </c>
      <c r="Z73">
        <v>73.900000000000006</v>
      </c>
      <c r="AA73" s="6">
        <v>12.898959999999999</v>
      </c>
      <c r="AB73" s="6">
        <f>Anthropometry[[#This Row],[Upper arm girth - R]]-(PI()*(Anthropometry[[#This Row],[Triceps]]/10))</f>
        <v>24.355752521835839</v>
      </c>
      <c r="AC73" s="6">
        <f>Anthropometry[[#This Row],[Mid-thighs]]-PI()*(Anthropometry[[#This Row],[Thigh]]/10)</f>
        <v>51.790265844189676</v>
      </c>
      <c r="AD73" s="6">
        <f>Anthropometry[[#This Row],[Mid-calf]]-PI()*(Anthropometry[[#This Row],[Calf]]/10)</f>
        <v>33.104425109548657</v>
      </c>
      <c r="AE73" s="6"/>
      <c r="AF73" s="6"/>
    </row>
    <row r="74" spans="1:32" ht="14.45">
      <c r="A74" t="s">
        <v>43</v>
      </c>
      <c r="B74" s="12">
        <v>43439</v>
      </c>
      <c r="C74" s="14">
        <v>0.40625</v>
      </c>
      <c r="D74">
        <v>175.9</v>
      </c>
      <c r="E74">
        <v>72.900000000000006</v>
      </c>
      <c r="F74" s="6">
        <v>23.561115562262266</v>
      </c>
      <c r="G74" s="13">
        <v>63.349954200000006</v>
      </c>
      <c r="H74" s="6">
        <v>9.5500458000000013</v>
      </c>
      <c r="J74">
        <v>89</v>
      </c>
      <c r="K74">
        <v>26.8</v>
      </c>
      <c r="M74">
        <v>99.8</v>
      </c>
      <c r="N74">
        <v>55.3</v>
      </c>
      <c r="O74" s="6">
        <v>143.53799999999995</v>
      </c>
      <c r="P74">
        <v>43.5</v>
      </c>
      <c r="Q74">
        <v>38.5</v>
      </c>
      <c r="R74">
        <v>12.6</v>
      </c>
      <c r="S74">
        <v>7.9</v>
      </c>
      <c r="T74">
        <v>3.8</v>
      </c>
      <c r="U74">
        <v>11.2</v>
      </c>
      <c r="V74">
        <v>5.8</v>
      </c>
      <c r="W74">
        <v>10</v>
      </c>
      <c r="X74">
        <v>16.399999999999999</v>
      </c>
      <c r="Y74">
        <v>8.8000000000000007</v>
      </c>
      <c r="Z74">
        <v>76.499999999999986</v>
      </c>
      <c r="AA74" s="6">
        <v>13.100199999999999</v>
      </c>
      <c r="AB74" s="6">
        <f>Anthropometry[[#This Row],[Upper arm girth - R]]-(PI()*(Anthropometry[[#This Row],[Triceps]]/10))</f>
        <v>22.841593256476862</v>
      </c>
      <c r="AC74" s="6">
        <f>Anthropometry[[#This Row],[Mid-thighs]]-PI()*(Anthropometry[[#This Row],[Thigh]]/10)</f>
        <v>50.147788048112737</v>
      </c>
      <c r="AD74" s="6">
        <f>Anthropometry[[#This Row],[Mid-calf]]-PI()*(Anthropometry[[#This Row],[Calf]]/10)</f>
        <v>35.735398464840983</v>
      </c>
      <c r="AE74" s="6"/>
      <c r="AF74" s="6"/>
    </row>
    <row r="75" spans="1:32" ht="14.45">
      <c r="A75" t="s">
        <v>40</v>
      </c>
      <c r="B75" s="12">
        <v>42405</v>
      </c>
      <c r="C75" s="14">
        <v>0.39305555555555555</v>
      </c>
      <c r="D75" s="6">
        <v>182.1</v>
      </c>
      <c r="E75">
        <v>81.599999999999994</v>
      </c>
      <c r="G75" s="6">
        <v>76.017295199999992</v>
      </c>
      <c r="H75" s="6">
        <v>5.5827047999999984</v>
      </c>
      <c r="I75">
        <v>49.2</v>
      </c>
      <c r="J75">
        <v>93</v>
      </c>
      <c r="K75">
        <v>30.5</v>
      </c>
      <c r="M75">
        <v>100.5</v>
      </c>
      <c r="N75">
        <v>57</v>
      </c>
      <c r="O75" s="6">
        <v>175.11099999999999</v>
      </c>
      <c r="Q75">
        <v>34.799999999999997</v>
      </c>
      <c r="R75">
        <v>5.3</v>
      </c>
      <c r="S75">
        <v>9.9</v>
      </c>
      <c r="T75">
        <v>2.8</v>
      </c>
      <c r="U75">
        <v>5.9</v>
      </c>
      <c r="V75">
        <v>4.5999999999999996</v>
      </c>
      <c r="W75">
        <v>11.8</v>
      </c>
      <c r="X75">
        <v>5.0999999999999996</v>
      </c>
      <c r="Y75">
        <v>3.8</v>
      </c>
      <c r="Z75">
        <v>49.199999999999996</v>
      </c>
      <c r="AA75" s="6">
        <v>6.8415499999999989</v>
      </c>
      <c r="AB75" s="6">
        <f>Anthropometry[[#This Row],[Upper arm girth - R]]-(PI()*(Anthropometry[[#This Row],[Triceps]]/10))</f>
        <v>28.83495589359741</v>
      </c>
      <c r="AC75" s="6">
        <f>Anthropometry[[#This Row],[Mid-thighs]]-PI()*(Anthropometry[[#This Row],[Thigh]]/10)</f>
        <v>55.397787746669202</v>
      </c>
      <c r="AD75" s="6">
        <f>Anthropometry[[#This Row],[Mid-calf]]-PI()*(Anthropometry[[#This Row],[Calf]]/10)</f>
        <v>33.606194791635879</v>
      </c>
      <c r="AE75" s="6"/>
      <c r="AF75" s="6"/>
    </row>
    <row r="76" spans="1:32" ht="15" customHeight="1">
      <c r="A76" t="s">
        <v>39</v>
      </c>
      <c r="B76" s="12">
        <v>42417</v>
      </c>
      <c r="C76" s="14">
        <v>0.39930555555555558</v>
      </c>
      <c r="D76">
        <v>180.3</v>
      </c>
      <c r="E76">
        <v>83.1</v>
      </c>
      <c r="G76" s="6">
        <v>77.362269089999998</v>
      </c>
      <c r="H76" s="6">
        <v>5.7377309099999998</v>
      </c>
      <c r="I76">
        <v>48</v>
      </c>
      <c r="J76">
        <v>94</v>
      </c>
      <c r="K76">
        <v>31</v>
      </c>
      <c r="M76">
        <v>100</v>
      </c>
      <c r="N76">
        <v>59</v>
      </c>
      <c r="O76" s="6">
        <v>177.36500000000001</v>
      </c>
      <c r="P76" s="6"/>
      <c r="Q76">
        <v>39.6</v>
      </c>
      <c r="R76">
        <v>6.1</v>
      </c>
      <c r="S76">
        <v>7</v>
      </c>
      <c r="T76">
        <v>3.3</v>
      </c>
      <c r="U76">
        <v>9</v>
      </c>
      <c r="V76">
        <v>5.2</v>
      </c>
      <c r="W76">
        <v>9.9</v>
      </c>
      <c r="X76">
        <v>8.5</v>
      </c>
      <c r="Y76">
        <v>4.4000000000000004</v>
      </c>
      <c r="Z76" s="6">
        <v>53.4</v>
      </c>
      <c r="AA76" s="6">
        <v>6.9046099999999999</v>
      </c>
      <c r="AB76" s="6">
        <f>Anthropometry[[#This Row],[Upper arm girth - R]]-(PI()*(Anthropometry[[#This Row],[Triceps]]/10))</f>
        <v>29.083628481310225</v>
      </c>
      <c r="AC76" s="6">
        <f>Anthropometry[[#This Row],[Mid-thighs]]-PI()*(Anthropometry[[#This Row],[Thigh]]/10)</f>
        <v>56.329646244448675</v>
      </c>
      <c r="AD76" s="6">
        <f>Anthropometry[[#This Row],[Mid-calf]]-PI()*(Anthropometry[[#This Row],[Calf]]/10)</f>
        <v>38.217699232420493</v>
      </c>
      <c r="AE76" s="6"/>
      <c r="AF76" s="6"/>
    </row>
    <row r="77" spans="1:32" ht="15" customHeight="1">
      <c r="A77" t="s">
        <v>42</v>
      </c>
      <c r="B77" s="12">
        <v>42417</v>
      </c>
      <c r="C77" s="14">
        <v>0.40972222222222227</v>
      </c>
      <c r="D77">
        <v>166.5</v>
      </c>
      <c r="E77">
        <v>67.7</v>
      </c>
      <c r="F77" s="6">
        <v>20.33033033033033</v>
      </c>
      <c r="G77" s="6">
        <v>59.37612252000001</v>
      </c>
      <c r="H77" s="6">
        <v>8.3238774799999984</v>
      </c>
      <c r="I77">
        <v>44.4</v>
      </c>
      <c r="J77">
        <v>82.5</v>
      </c>
      <c r="K77">
        <v>27.5</v>
      </c>
      <c r="M77">
        <v>99</v>
      </c>
      <c r="N77">
        <v>55</v>
      </c>
      <c r="O77" s="6">
        <v>150.91199999999998</v>
      </c>
      <c r="Q77">
        <v>37.5</v>
      </c>
      <c r="R77">
        <v>11.6</v>
      </c>
      <c r="S77">
        <v>6.8</v>
      </c>
      <c r="T77">
        <v>3.6</v>
      </c>
      <c r="U77">
        <v>8.8000000000000007</v>
      </c>
      <c r="V77">
        <v>6.2</v>
      </c>
      <c r="W77">
        <v>7.6</v>
      </c>
      <c r="X77">
        <v>12.2</v>
      </c>
      <c r="Y77">
        <v>11.9</v>
      </c>
      <c r="Z77">
        <v>68.7</v>
      </c>
      <c r="AA77" s="6">
        <v>12.295239999999998</v>
      </c>
      <c r="AB77" s="6">
        <f>Anthropometry[[#This Row],[Upper arm girth - R]]-(PI()*(Anthropometry[[#This Row],[Triceps]]/10))</f>
        <v>23.855752521835839</v>
      </c>
      <c r="AC77" s="6">
        <f>Anthropometry[[#This Row],[Mid-thighs]]-PI()*(Anthropometry[[#This Row],[Thigh]]/10)</f>
        <v>51.167256962620449</v>
      </c>
      <c r="AD77" s="6">
        <f>Anthropometry[[#This Row],[Mid-calf]]-PI()*(Anthropometry[[#This Row],[Calf]]/10)</f>
        <v>33.761504742228148</v>
      </c>
      <c r="AE77" s="6"/>
      <c r="AF77" s="6"/>
    </row>
    <row r="78" spans="1:32" ht="14.45">
      <c r="A78" t="s">
        <v>43</v>
      </c>
      <c r="B78" s="12">
        <v>43501</v>
      </c>
      <c r="C78" s="14">
        <v>0.39583333333333331</v>
      </c>
      <c r="D78">
        <v>175.9</v>
      </c>
      <c r="E78">
        <v>71.599999999999994</v>
      </c>
      <c r="F78" s="6">
        <v>23.140958494622467</v>
      </c>
      <c r="G78" s="13">
        <v>62.430846719999998</v>
      </c>
      <c r="H78" s="6">
        <v>9.1691532799999997</v>
      </c>
      <c r="J78">
        <v>86.1</v>
      </c>
      <c r="K78">
        <v>26.2</v>
      </c>
      <c r="M78">
        <v>100</v>
      </c>
      <c r="N78">
        <v>54.5</v>
      </c>
      <c r="O78" s="6">
        <v>141.88399999999996</v>
      </c>
      <c r="P78">
        <v>43.5</v>
      </c>
      <c r="Q78">
        <v>38.200000000000003</v>
      </c>
      <c r="R78">
        <v>11.3</v>
      </c>
      <c r="S78">
        <v>7.8</v>
      </c>
      <c r="T78">
        <v>3.6</v>
      </c>
      <c r="U78">
        <v>9.8000000000000007</v>
      </c>
      <c r="V78">
        <v>6.1</v>
      </c>
      <c r="W78">
        <v>10.6</v>
      </c>
      <c r="X78">
        <v>15.4</v>
      </c>
      <c r="Y78">
        <v>8.4</v>
      </c>
      <c r="Z78">
        <v>73.000000000000014</v>
      </c>
      <c r="AA78" s="6">
        <v>12.80608</v>
      </c>
      <c r="AB78" s="6">
        <f>Anthropometry[[#This Row],[Upper arm girth - R]]-(PI()*(Anthropometry[[#This Row],[Triceps]]/10))</f>
        <v>22.650000301443534</v>
      </c>
      <c r="AC78" s="6">
        <f>Anthropometry[[#This Row],[Mid-thighs]]-PI()*(Anthropometry[[#This Row],[Thigh]]/10)</f>
        <v>49.661947313471721</v>
      </c>
      <c r="AD78" s="6">
        <f>Anthropometry[[#This Row],[Mid-calf]]-PI()*(Anthropometry[[#This Row],[Calf]]/10)</f>
        <v>35.561062170984577</v>
      </c>
      <c r="AE78" s="6"/>
      <c r="AF78" s="6"/>
    </row>
    <row r="79" spans="1:32" ht="14.45">
      <c r="A79" t="s">
        <v>43</v>
      </c>
      <c r="B79" s="12">
        <v>43564</v>
      </c>
      <c r="C79" s="14">
        <v>0.36805555555555558</v>
      </c>
      <c r="D79">
        <v>176.5</v>
      </c>
      <c r="E79">
        <v>72.900000000000006</v>
      </c>
      <c r="F79" s="6">
        <v>23.401198950316594</v>
      </c>
      <c r="G79" s="13">
        <v>63.474088320000014</v>
      </c>
      <c r="H79" s="6">
        <v>9.4259116800000022</v>
      </c>
      <c r="K79">
        <v>27.6</v>
      </c>
      <c r="M79">
        <v>101.4</v>
      </c>
      <c r="N79">
        <v>55.5</v>
      </c>
      <c r="O79" s="6">
        <v>146.35500000000002</v>
      </c>
      <c r="P79">
        <v>43.5</v>
      </c>
      <c r="Q79">
        <v>38.5</v>
      </c>
      <c r="R79">
        <v>10.6</v>
      </c>
      <c r="S79">
        <v>8</v>
      </c>
      <c r="T79">
        <v>3.7</v>
      </c>
      <c r="U79">
        <v>8</v>
      </c>
      <c r="V79">
        <v>5.6</v>
      </c>
      <c r="W79">
        <v>12</v>
      </c>
      <c r="X79">
        <v>15.5</v>
      </c>
      <c r="Y79">
        <v>8.6999999999999993</v>
      </c>
      <c r="Z79">
        <v>72.099999999999994</v>
      </c>
      <c r="AA79" s="6">
        <v>12.929920000000001</v>
      </c>
      <c r="AB79" s="6">
        <f>Anthropometry[[#This Row],[Upper arm girth - R]]-(PI()*(Anthropometry[[#This Row],[Triceps]]/10))</f>
        <v>24.269911787194822</v>
      </c>
      <c r="AC79" s="6">
        <f>Anthropometry[[#This Row],[Mid-thighs]]-PI()*(Anthropometry[[#This Row],[Thigh]]/10)</f>
        <v>50.630531386935822</v>
      </c>
      <c r="AD79" s="6">
        <f>Anthropometry[[#This Row],[Mid-calf]]-PI()*(Anthropometry[[#This Row],[Calf]]/10)</f>
        <v>35.766814391376883</v>
      </c>
      <c r="AE79" s="6"/>
      <c r="AF79" s="6"/>
    </row>
    <row r="80" spans="1:32" ht="14.45">
      <c r="A80" t="s">
        <v>40</v>
      </c>
      <c r="B80" s="12">
        <v>42417</v>
      </c>
      <c r="C80" s="14">
        <v>0.3888888888888889</v>
      </c>
      <c r="D80" s="6">
        <v>182.1</v>
      </c>
      <c r="E80">
        <v>81.5</v>
      </c>
      <c r="G80" s="6">
        <v>75.881308500000003</v>
      </c>
      <c r="H80" s="6">
        <v>5.6186914999999988</v>
      </c>
      <c r="I80">
        <v>48.2</v>
      </c>
      <c r="J80">
        <v>94.5</v>
      </c>
      <c r="K80">
        <v>30</v>
      </c>
      <c r="M80">
        <v>100</v>
      </c>
      <c r="N80">
        <v>56.5</v>
      </c>
      <c r="O80" s="6">
        <v>173.18899999999996</v>
      </c>
      <c r="Q80">
        <v>34.6</v>
      </c>
      <c r="R80">
        <v>5.3</v>
      </c>
      <c r="S80">
        <v>9.8000000000000007</v>
      </c>
      <c r="T80">
        <v>3.2</v>
      </c>
      <c r="U80">
        <v>7.2</v>
      </c>
      <c r="V80">
        <v>5.2</v>
      </c>
      <c r="W80">
        <v>12</v>
      </c>
      <c r="X80">
        <v>4.9000000000000004</v>
      </c>
      <c r="Y80">
        <v>3.8</v>
      </c>
      <c r="Z80">
        <v>51.4</v>
      </c>
      <c r="AA80" s="6">
        <v>6.894099999999999</v>
      </c>
      <c r="AB80" s="6">
        <f>Anthropometry[[#This Row],[Upper arm girth - R]]-(PI()*(Anthropometry[[#This Row],[Triceps]]/10))</f>
        <v>28.33495589359741</v>
      </c>
      <c r="AC80" s="6">
        <f>Anthropometry[[#This Row],[Mid-thighs]]-PI()*(Anthropometry[[#This Row],[Thigh]]/10)</f>
        <v>54.960619599741001</v>
      </c>
      <c r="AD80" s="6">
        <f>Anthropometry[[#This Row],[Mid-calf]]-PI()*(Anthropometry[[#This Row],[Calf]]/10)</f>
        <v>33.406194791635883</v>
      </c>
      <c r="AE80" s="6"/>
      <c r="AF80" s="6"/>
    </row>
    <row r="81" spans="1:32" ht="14.45">
      <c r="A81" t="s">
        <v>44</v>
      </c>
      <c r="B81" s="12">
        <v>42460</v>
      </c>
      <c r="C81" s="14">
        <v>0.60416666666666663</v>
      </c>
      <c r="D81">
        <v>170.5</v>
      </c>
      <c r="E81">
        <v>58.3</v>
      </c>
      <c r="F81" s="6">
        <v>20.054867089206315</v>
      </c>
      <c r="G81" s="6">
        <v>51.556042560000002</v>
      </c>
      <c r="H81" s="6">
        <v>6.7439574399999991</v>
      </c>
      <c r="I81">
        <v>42.6</v>
      </c>
      <c r="J81">
        <v>83</v>
      </c>
      <c r="K81">
        <v>25</v>
      </c>
      <c r="M81">
        <v>92</v>
      </c>
      <c r="N81">
        <v>49</v>
      </c>
      <c r="O81" s="6">
        <v>121.16000000000001</v>
      </c>
      <c r="Q81">
        <v>33.299999999999997</v>
      </c>
      <c r="R81">
        <v>10.5</v>
      </c>
      <c r="S81">
        <v>6.4</v>
      </c>
      <c r="T81">
        <v>3.8</v>
      </c>
      <c r="U81">
        <v>6.4</v>
      </c>
      <c r="V81">
        <v>4.5999999999999996</v>
      </c>
      <c r="W81">
        <v>7.8</v>
      </c>
      <c r="X81">
        <v>13</v>
      </c>
      <c r="Y81">
        <v>9.3000000000000007</v>
      </c>
      <c r="Z81">
        <v>61.8</v>
      </c>
      <c r="AA81" s="6">
        <v>11.567679999999999</v>
      </c>
      <c r="AB81" s="6">
        <f>Anthropometry[[#This Row],[Upper arm girth - R]]-(PI()*(Anthropometry[[#This Row],[Triceps]]/10))</f>
        <v>21.701327713730716</v>
      </c>
      <c r="AC81" s="6">
        <f>Anthropometry[[#This Row],[Mid-thighs]]-PI()*(Anthropometry[[#This Row],[Thigh]]/10)</f>
        <v>44.915929550333267</v>
      </c>
      <c r="AD81" s="6">
        <f>Anthropometry[[#This Row],[Mid-calf]]-PI()*(Anthropometry[[#This Row],[Calf]]/10)</f>
        <v>30.37831883216149</v>
      </c>
      <c r="AE81" s="6"/>
      <c r="AF81" s="6"/>
    </row>
    <row r="82" spans="1:32" ht="14.45">
      <c r="A82" t="s">
        <v>39</v>
      </c>
      <c r="B82" s="12">
        <v>42475</v>
      </c>
      <c r="C82" s="14">
        <v>0.37291666666666662</v>
      </c>
      <c r="D82">
        <v>180.3</v>
      </c>
      <c r="E82">
        <v>83.3</v>
      </c>
      <c r="G82" s="6">
        <v>77.487176059999996</v>
      </c>
      <c r="H82" s="6">
        <v>5.8128239399999995</v>
      </c>
      <c r="I82">
        <v>48.3</v>
      </c>
      <c r="J82">
        <v>94</v>
      </c>
      <c r="K82">
        <v>30</v>
      </c>
      <c r="M82">
        <v>99.4</v>
      </c>
      <c r="N82">
        <v>58.5</v>
      </c>
      <c r="O82" s="6">
        <v>177.74199999999996</v>
      </c>
      <c r="P82" s="6"/>
      <c r="Q82">
        <v>40</v>
      </c>
      <c r="R82">
        <v>6.2</v>
      </c>
      <c r="S82">
        <v>7.2</v>
      </c>
      <c r="T82">
        <v>3.1</v>
      </c>
      <c r="U82">
        <v>10.6</v>
      </c>
      <c r="V82">
        <v>5.5</v>
      </c>
      <c r="W82">
        <v>11.2</v>
      </c>
      <c r="X82">
        <v>7.2</v>
      </c>
      <c r="Y82">
        <v>4.5</v>
      </c>
      <c r="Z82" s="6">
        <v>55.5</v>
      </c>
      <c r="AA82" s="6">
        <v>6.97818</v>
      </c>
      <c r="AB82" s="6">
        <f>Anthropometry[[#This Row],[Upper arm girth - R]]-(PI()*(Anthropometry[[#This Row],[Triceps]]/10))</f>
        <v>28.052212554774329</v>
      </c>
      <c r="AC82" s="6">
        <f>Anthropometry[[#This Row],[Mid-thighs]]-PI()*(Anthropometry[[#This Row],[Thigh]]/10)</f>
        <v>56.238053289415348</v>
      </c>
      <c r="AD82" s="6">
        <f>Anthropometry[[#This Row],[Mid-calf]]-PI()*(Anthropometry[[#This Row],[Calf]]/10)</f>
        <v>38.586283305884592</v>
      </c>
      <c r="AE82" s="6"/>
      <c r="AF82" s="6"/>
    </row>
    <row r="83" spans="1:32" ht="14.45">
      <c r="A83" t="s">
        <v>41</v>
      </c>
      <c r="B83" s="12">
        <v>42475</v>
      </c>
      <c r="C83" s="14">
        <v>0.64583333333333337</v>
      </c>
      <c r="D83">
        <v>177.4</v>
      </c>
      <c r="E83">
        <v>84.7</v>
      </c>
      <c r="G83" s="6">
        <v>78.798383509999994</v>
      </c>
      <c r="H83" s="6">
        <v>5.9016164899999994</v>
      </c>
      <c r="I83">
        <v>50.8</v>
      </c>
      <c r="J83">
        <v>98.5</v>
      </c>
      <c r="K83">
        <v>31</v>
      </c>
      <c r="M83">
        <v>99</v>
      </c>
      <c r="N83">
        <v>58</v>
      </c>
      <c r="O83" s="6">
        <v>178.32799999999997</v>
      </c>
      <c r="Q83">
        <v>37.5</v>
      </c>
      <c r="R83">
        <v>6.8</v>
      </c>
      <c r="S83">
        <v>7.8</v>
      </c>
      <c r="T83">
        <v>3.2</v>
      </c>
      <c r="U83">
        <v>9.5</v>
      </c>
      <c r="V83">
        <v>5.8</v>
      </c>
      <c r="W83">
        <v>10</v>
      </c>
      <c r="X83">
        <v>5.8</v>
      </c>
      <c r="Y83">
        <v>5.5</v>
      </c>
      <c r="Z83">
        <v>54.4</v>
      </c>
      <c r="AA83" s="6">
        <v>6.9676699999999991</v>
      </c>
      <c r="AB83" s="6">
        <f>Anthropometry[[#This Row],[Upper arm girth - R]]-(PI()*(Anthropometry[[#This Row],[Triceps]]/10))</f>
        <v>28.863716995558942</v>
      </c>
      <c r="AC83" s="6">
        <f>Anthropometry[[#This Row],[Mid-thighs]]-PI()*(Anthropometry[[#This Row],[Thigh]]/10)</f>
        <v>56.17787626091792</v>
      </c>
      <c r="AD83" s="6">
        <f>Anthropometry[[#This Row],[Mid-calf]]-PI()*(Anthropometry[[#This Row],[Calf]]/10)</f>
        <v>35.772124040525611</v>
      </c>
      <c r="AE83" s="6"/>
      <c r="AF83" s="6"/>
    </row>
    <row r="84" spans="1:32" ht="14.45">
      <c r="A84" t="s">
        <v>42</v>
      </c>
      <c r="B84" s="12">
        <v>42475</v>
      </c>
      <c r="C84" s="14">
        <v>0.58333333333333337</v>
      </c>
      <c r="D84">
        <v>166.5</v>
      </c>
      <c r="E84">
        <v>66.900000000000006</v>
      </c>
      <c r="F84" s="6">
        <v>20.09009009009009</v>
      </c>
      <c r="G84" s="6">
        <v>58.995524160000002</v>
      </c>
      <c r="H84" s="6">
        <v>7.904475839999999</v>
      </c>
      <c r="I84">
        <v>44.5</v>
      </c>
      <c r="J84">
        <v>83.5</v>
      </c>
      <c r="K84">
        <v>28</v>
      </c>
      <c r="M84">
        <v>99</v>
      </c>
      <c r="N84">
        <v>55.5</v>
      </c>
      <c r="O84" s="6">
        <v>156.178</v>
      </c>
      <c r="Q84">
        <v>37</v>
      </c>
      <c r="R84">
        <v>10.199999999999999</v>
      </c>
      <c r="S84">
        <v>7.2</v>
      </c>
      <c r="T84">
        <v>3.8</v>
      </c>
      <c r="U84">
        <v>9.5</v>
      </c>
      <c r="V84">
        <v>6.1</v>
      </c>
      <c r="W84">
        <v>8.8000000000000007</v>
      </c>
      <c r="X84">
        <v>10.8</v>
      </c>
      <c r="Y84">
        <v>10.1</v>
      </c>
      <c r="Z84">
        <v>66.499999999999986</v>
      </c>
      <c r="AA84" s="6">
        <v>11.815359999999998</v>
      </c>
      <c r="AB84" s="6">
        <f>Anthropometry[[#This Row],[Upper arm girth - R]]-(PI()*(Anthropometry[[#This Row],[Triceps]]/10))</f>
        <v>24.795575493338411</v>
      </c>
      <c r="AC84" s="6">
        <f>Anthropometry[[#This Row],[Mid-thighs]]-PI()*(Anthropometry[[#This Row],[Thigh]]/10)</f>
        <v>52.107079934123021</v>
      </c>
      <c r="AD84" s="6">
        <f>Anthropometry[[#This Row],[Mid-calf]]-PI()*(Anthropometry[[#This Row],[Calf]]/10)</f>
        <v>33.826991419874311</v>
      </c>
      <c r="AE84" s="6"/>
      <c r="AF84" s="6"/>
    </row>
    <row r="85" spans="1:32" ht="14.45">
      <c r="A85" t="s">
        <v>43</v>
      </c>
      <c r="B85" s="12">
        <v>43605</v>
      </c>
      <c r="C85" s="14">
        <v>0.34375</v>
      </c>
      <c r="D85">
        <v>176.5</v>
      </c>
      <c r="E85">
        <v>75.099999999999994</v>
      </c>
      <c r="F85" s="6">
        <v>24.107407972136844</v>
      </c>
      <c r="G85" s="13">
        <v>65.401255559999996</v>
      </c>
      <c r="H85" s="6">
        <v>9.6987444399999987</v>
      </c>
      <c r="K85">
        <v>28.5</v>
      </c>
      <c r="M85">
        <v>104</v>
      </c>
      <c r="N85">
        <v>56.5</v>
      </c>
      <c r="O85" s="6">
        <v>149.78099999999995</v>
      </c>
      <c r="P85">
        <v>44</v>
      </c>
      <c r="Q85">
        <v>38.799999999999997</v>
      </c>
      <c r="R85">
        <v>10</v>
      </c>
      <c r="S85">
        <v>9.1999999999999993</v>
      </c>
      <c r="T85">
        <v>4.2</v>
      </c>
      <c r="U85">
        <v>8.1999999999999993</v>
      </c>
      <c r="V85">
        <v>5.2</v>
      </c>
      <c r="W85">
        <v>11</v>
      </c>
      <c r="X85">
        <v>16.100000000000001</v>
      </c>
      <c r="Y85">
        <v>8.8000000000000007</v>
      </c>
      <c r="Z85">
        <v>72.7</v>
      </c>
      <c r="AA85" s="6">
        <v>12.914439999999999</v>
      </c>
      <c r="AB85" s="6">
        <f>Anthropometry[[#This Row],[Upper arm girth - R]]-(PI()*(Anthropometry[[#This Row],[Triceps]]/10))</f>
        <v>25.358407346410207</v>
      </c>
      <c r="AC85" s="6">
        <f>Anthropometry[[#This Row],[Mid-thighs]]-PI()*(Anthropometry[[#This Row],[Thigh]]/10)</f>
        <v>51.442035827720431</v>
      </c>
      <c r="AD85" s="6">
        <f>Anthropometry[[#This Row],[Mid-calf]]-PI()*(Anthropometry[[#This Row],[Calf]]/10)</f>
        <v>36.035398464840981</v>
      </c>
      <c r="AE85" s="6"/>
      <c r="AF85" s="6"/>
    </row>
    <row r="86" spans="1:32" ht="14.45">
      <c r="A86" t="s">
        <v>40</v>
      </c>
      <c r="B86" s="12">
        <v>42475</v>
      </c>
      <c r="C86" s="14">
        <v>0.40625</v>
      </c>
      <c r="D86" s="6">
        <v>182.1</v>
      </c>
      <c r="E86">
        <v>82.9</v>
      </c>
      <c r="G86" s="6">
        <v>77.080237620000005</v>
      </c>
      <c r="H86" s="6">
        <v>5.8197623800000002</v>
      </c>
      <c r="I86">
        <v>48</v>
      </c>
      <c r="J86">
        <v>94</v>
      </c>
      <c r="K86">
        <v>30.8</v>
      </c>
      <c r="M86" s="15"/>
      <c r="N86" s="15"/>
      <c r="O86" s="6"/>
      <c r="P86" s="15"/>
      <c r="Q86">
        <v>35</v>
      </c>
      <c r="R86">
        <v>5.6</v>
      </c>
      <c r="S86">
        <v>10.199999999999999</v>
      </c>
      <c r="T86">
        <v>3</v>
      </c>
      <c r="U86">
        <v>8</v>
      </c>
      <c r="V86">
        <v>5</v>
      </c>
      <c r="W86">
        <v>12.5</v>
      </c>
      <c r="X86">
        <v>5.0999999999999996</v>
      </c>
      <c r="Y86">
        <v>3.8</v>
      </c>
      <c r="Z86">
        <v>53.199999999999996</v>
      </c>
      <c r="AA86" s="6">
        <v>7.0202199999999992</v>
      </c>
      <c r="AB86" s="6">
        <f>Anthropometry[[#This Row],[Upper arm girth - R]]-(PI()*(Anthropometry[[#This Row],[Triceps]]/10))</f>
        <v>29.040708113989716</v>
      </c>
      <c r="AC86" s="6">
        <f>Anthropometry[[#This Row],[Mid-thighs]]-PI()*(Anthropometry[[#This Row],[Thigh]]/10)</f>
        <v>-1.6022122533307945</v>
      </c>
      <c r="AD86" s="6">
        <f>Anthropometry[[#This Row],[Mid-calf]]-PI()*(Anthropometry[[#This Row],[Calf]]/10)</f>
        <v>33.806194791635882</v>
      </c>
      <c r="AE86" s="6"/>
      <c r="AF86" s="6"/>
    </row>
    <row r="87" spans="1:32" ht="14.45">
      <c r="A87" t="s">
        <v>43</v>
      </c>
      <c r="B87" s="12">
        <v>43697</v>
      </c>
      <c r="C87" s="14">
        <v>0.375</v>
      </c>
      <c r="D87">
        <v>176.5</v>
      </c>
      <c r="E87">
        <v>76.099999999999994</v>
      </c>
      <c r="F87" s="6">
        <v>24.428412072964232</v>
      </c>
      <c r="G87" s="13">
        <v>65.883361919999984</v>
      </c>
      <c r="H87" s="6">
        <v>10.216638079999997</v>
      </c>
      <c r="K87">
        <v>29.2</v>
      </c>
      <c r="M87">
        <v>105.4</v>
      </c>
      <c r="N87">
        <v>56.5</v>
      </c>
      <c r="O87" s="6">
        <v>148.52699999999999</v>
      </c>
      <c r="P87">
        <v>45.2</v>
      </c>
      <c r="Q87">
        <v>39</v>
      </c>
      <c r="R87">
        <v>11.7</v>
      </c>
      <c r="S87">
        <v>8.6999999999999993</v>
      </c>
      <c r="T87">
        <v>4.3</v>
      </c>
      <c r="U87">
        <v>8.5</v>
      </c>
      <c r="V87">
        <v>4.5</v>
      </c>
      <c r="W87">
        <v>12.2</v>
      </c>
      <c r="X87">
        <v>16.7</v>
      </c>
      <c r="Y87">
        <v>9.8000000000000007</v>
      </c>
      <c r="Z87">
        <v>76.400000000000006</v>
      </c>
      <c r="AA87" s="6">
        <v>13.425279999999999</v>
      </c>
      <c r="AB87" s="6">
        <f>Anthropometry[[#This Row],[Upper arm girth - R]]-(PI()*(Anthropometry[[#This Row],[Triceps]]/10))</f>
        <v>25.524336595299943</v>
      </c>
      <c r="AC87" s="6">
        <f>Anthropometry[[#This Row],[Mid-thighs]]-PI()*(Anthropometry[[#This Row],[Thigh]]/10)</f>
        <v>51.253540268505049</v>
      </c>
      <c r="AD87" s="6">
        <f>Anthropometry[[#This Row],[Mid-calf]]-PI()*(Anthropometry[[#This Row],[Calf]]/10)</f>
        <v>35.921239199482002</v>
      </c>
      <c r="AE87" s="6"/>
      <c r="AF87" s="6"/>
    </row>
    <row r="88" spans="1:32" ht="14.45">
      <c r="A88" t="s">
        <v>39</v>
      </c>
      <c r="B88" s="12">
        <v>42507</v>
      </c>
      <c r="C88" s="14">
        <v>0.41458333333333303</v>
      </c>
      <c r="D88">
        <v>180.3</v>
      </c>
      <c r="E88">
        <v>84.8</v>
      </c>
      <c r="G88" s="6">
        <v>78.820115999999999</v>
      </c>
      <c r="H88" s="6">
        <v>5.9798840000000002</v>
      </c>
      <c r="I88">
        <v>48.1</v>
      </c>
      <c r="J88">
        <v>94.8</v>
      </c>
      <c r="K88">
        <v>31</v>
      </c>
      <c r="M88">
        <v>100</v>
      </c>
      <c r="N88">
        <v>59.8</v>
      </c>
      <c r="O88" s="6">
        <v>184.45299999999997</v>
      </c>
      <c r="P88" s="6"/>
      <c r="Q88">
        <v>40</v>
      </c>
      <c r="R88">
        <v>6.9</v>
      </c>
      <c r="S88">
        <v>7.2</v>
      </c>
      <c r="T88">
        <v>3.3</v>
      </c>
      <c r="U88">
        <v>11</v>
      </c>
      <c r="V88">
        <v>5.6</v>
      </c>
      <c r="W88">
        <v>11.5</v>
      </c>
      <c r="X88">
        <v>6.9</v>
      </c>
      <c r="Y88">
        <v>4.4000000000000004</v>
      </c>
      <c r="Z88" s="6">
        <v>56.8</v>
      </c>
      <c r="AA88" s="6">
        <v>7.0517500000000002</v>
      </c>
      <c r="AB88" s="6">
        <f>Anthropometry[[#This Row],[Upper arm girth - R]]-(PI()*(Anthropometry[[#This Row],[Triceps]]/10))</f>
        <v>28.832301069023043</v>
      </c>
      <c r="AC88" s="6">
        <f>Anthropometry[[#This Row],[Mid-thighs]]-PI()*(Anthropometry[[#This Row],[Thigh]]/10)</f>
        <v>57.632301069023043</v>
      </c>
      <c r="AD88" s="6">
        <f>Anthropometry[[#This Row],[Mid-calf]]-PI()*(Anthropometry[[#This Row],[Calf]]/10)</f>
        <v>38.617699232420492</v>
      </c>
      <c r="AE88" s="6"/>
      <c r="AF88" s="6"/>
    </row>
    <row r="89" spans="1:32" ht="14.45">
      <c r="A89" t="s">
        <v>44</v>
      </c>
      <c r="B89" s="12">
        <v>42508</v>
      </c>
      <c r="C89" s="14">
        <v>0.45833333333333331</v>
      </c>
      <c r="D89">
        <v>170.5</v>
      </c>
      <c r="E89">
        <v>58.9</v>
      </c>
      <c r="F89" s="6">
        <v>20.26126366302319</v>
      </c>
      <c r="G89" s="6">
        <v>51.776634000000001</v>
      </c>
      <c r="H89" s="6">
        <v>7.123365999999999</v>
      </c>
      <c r="I89">
        <v>42.3</v>
      </c>
      <c r="J89">
        <v>83</v>
      </c>
      <c r="K89">
        <v>25.5</v>
      </c>
      <c r="M89">
        <v>91.4</v>
      </c>
      <c r="N89">
        <v>48.5</v>
      </c>
      <c r="O89" s="6">
        <v>116.73</v>
      </c>
      <c r="Q89">
        <v>33.5</v>
      </c>
      <c r="R89">
        <v>10.8</v>
      </c>
      <c r="S89">
        <v>6.5</v>
      </c>
      <c r="T89">
        <v>4.2</v>
      </c>
      <c r="U89">
        <v>6.8</v>
      </c>
      <c r="V89">
        <v>5.2</v>
      </c>
      <c r="W89">
        <v>9</v>
      </c>
      <c r="X89">
        <v>14</v>
      </c>
      <c r="Y89">
        <v>9.5</v>
      </c>
      <c r="Z89">
        <v>66</v>
      </c>
      <c r="AA89" s="6">
        <v>12.093999999999999</v>
      </c>
      <c r="AB89" s="6">
        <f>Anthropometry[[#This Row],[Upper arm girth - R]]-(PI()*(Anthropometry[[#This Row],[Triceps]]/10))</f>
        <v>22.107079934123021</v>
      </c>
      <c r="AC89" s="6">
        <f>Anthropometry[[#This Row],[Mid-thighs]]-PI()*(Anthropometry[[#This Row],[Thigh]]/10)</f>
        <v>44.101770284974293</v>
      </c>
      <c r="AD89" s="6">
        <f>Anthropometry[[#This Row],[Mid-calf]]-PI()*(Anthropometry[[#This Row],[Calf]]/10)</f>
        <v>30.515486979089697</v>
      </c>
      <c r="AE89" s="6"/>
      <c r="AF89" s="6"/>
    </row>
    <row r="90" spans="1:32" ht="14.45">
      <c r="A90" t="s">
        <v>41</v>
      </c>
      <c r="B90" s="12">
        <v>42508</v>
      </c>
      <c r="C90" s="14">
        <v>0.44791666666666669</v>
      </c>
      <c r="D90">
        <v>177.4</v>
      </c>
      <c r="E90">
        <v>85.6</v>
      </c>
      <c r="G90" s="6">
        <v>79.590691680000006</v>
      </c>
      <c r="H90" s="6">
        <v>6.0093083199999997</v>
      </c>
      <c r="I90">
        <v>50.8</v>
      </c>
      <c r="J90">
        <v>98.4</v>
      </c>
      <c r="K90">
        <v>31</v>
      </c>
      <c r="M90">
        <v>101</v>
      </c>
      <c r="N90">
        <v>59.5</v>
      </c>
      <c r="O90" s="6">
        <v>186.81099999999998</v>
      </c>
      <c r="Q90">
        <v>37.5</v>
      </c>
      <c r="R90">
        <v>7.2</v>
      </c>
      <c r="S90">
        <v>7.9</v>
      </c>
      <c r="T90">
        <v>3.6</v>
      </c>
      <c r="U90">
        <v>10</v>
      </c>
      <c r="V90">
        <v>5.8</v>
      </c>
      <c r="W90">
        <v>10.199999999999999</v>
      </c>
      <c r="X90">
        <v>5.0999999999999996</v>
      </c>
      <c r="Y90">
        <v>6</v>
      </c>
      <c r="Z90">
        <v>55.800000000000004</v>
      </c>
      <c r="AA90" s="6">
        <v>7.0202200000000001</v>
      </c>
      <c r="AB90" s="6">
        <f>Anthropometry[[#This Row],[Upper arm girth - R]]-(PI()*(Anthropometry[[#This Row],[Triceps]]/10))</f>
        <v>28.738053289415348</v>
      </c>
      <c r="AC90" s="6">
        <f>Anthropometry[[#This Row],[Mid-thighs]]-PI()*(Anthropometry[[#This Row],[Thigh]]/10)</f>
        <v>57.897787746669202</v>
      </c>
      <c r="AD90" s="6">
        <f>Anthropometry[[#This Row],[Mid-calf]]-PI()*(Anthropometry[[#This Row],[Calf]]/10)</f>
        <v>35.615044407846128</v>
      </c>
      <c r="AE90" s="6"/>
      <c r="AF90" s="6"/>
    </row>
    <row r="91" spans="1:32" ht="14.45">
      <c r="A91" t="s">
        <v>42</v>
      </c>
      <c r="B91" s="12">
        <v>42508</v>
      </c>
      <c r="C91" s="14">
        <v>0.4375</v>
      </c>
      <c r="D91">
        <v>166.5</v>
      </c>
      <c r="E91">
        <v>68.400000000000006</v>
      </c>
      <c r="F91" s="6">
        <v>20.54054054054054</v>
      </c>
      <c r="G91" s="6">
        <v>59.94770256000001</v>
      </c>
      <c r="H91" s="6">
        <v>8.4522974399999988</v>
      </c>
      <c r="I91">
        <v>44.6</v>
      </c>
      <c r="J91">
        <v>83.5</v>
      </c>
      <c r="K91">
        <v>28.8</v>
      </c>
      <c r="M91">
        <v>98.7</v>
      </c>
      <c r="N91">
        <v>56.4</v>
      </c>
      <c r="O91" s="6">
        <v>161.435</v>
      </c>
      <c r="Q91">
        <v>37.5</v>
      </c>
      <c r="R91">
        <v>11.4</v>
      </c>
      <c r="S91">
        <v>7.3</v>
      </c>
      <c r="T91">
        <v>3.2</v>
      </c>
      <c r="U91">
        <v>9.8000000000000007</v>
      </c>
      <c r="V91">
        <v>6.6</v>
      </c>
      <c r="W91">
        <v>9</v>
      </c>
      <c r="X91">
        <v>10.3</v>
      </c>
      <c r="Y91">
        <v>12.1</v>
      </c>
      <c r="Z91">
        <v>69.699999999999989</v>
      </c>
      <c r="AA91" s="6">
        <v>12.357159999999999</v>
      </c>
      <c r="AB91" s="6">
        <f>Anthropometry[[#This Row],[Upper arm girth - R]]-(PI()*(Anthropometry[[#This Row],[Triceps]]/10))</f>
        <v>25.218584374907635</v>
      </c>
      <c r="AC91" s="6">
        <f>Anthropometry[[#This Row],[Mid-thighs]]-PI()*(Anthropometry[[#This Row],[Thigh]]/10)</f>
        <v>53.16415956680251</v>
      </c>
      <c r="AD91" s="6">
        <f>Anthropometry[[#This Row],[Mid-calf]]-PI()*(Anthropometry[[#This Row],[Calf]]/10)</f>
        <v>33.698672889156349</v>
      </c>
      <c r="AE91" s="6"/>
      <c r="AF91" s="6"/>
    </row>
    <row r="92" spans="1:32" ht="14.45">
      <c r="A92" t="s">
        <v>40</v>
      </c>
      <c r="B92" s="12">
        <v>42508</v>
      </c>
      <c r="C92" s="14">
        <v>0.375</v>
      </c>
      <c r="D92" s="6">
        <v>182.1</v>
      </c>
      <c r="E92">
        <v>83.7</v>
      </c>
      <c r="G92" s="6">
        <v>77.771294640000008</v>
      </c>
      <c r="H92" s="6">
        <v>5.9287053600000004</v>
      </c>
      <c r="I92">
        <v>49.2</v>
      </c>
      <c r="J92">
        <v>95</v>
      </c>
      <c r="K92">
        <v>31</v>
      </c>
      <c r="M92">
        <v>101.1</v>
      </c>
      <c r="N92">
        <v>57.2</v>
      </c>
      <c r="O92" s="6">
        <v>176.46499999999997</v>
      </c>
      <c r="Q92">
        <v>35</v>
      </c>
      <c r="R92">
        <v>5.6</v>
      </c>
      <c r="S92">
        <v>10</v>
      </c>
      <c r="T92">
        <v>2.6</v>
      </c>
      <c r="U92">
        <v>9.6999999999999993</v>
      </c>
      <c r="V92">
        <v>5.5</v>
      </c>
      <c r="W92">
        <v>13</v>
      </c>
      <c r="X92">
        <v>4.9000000000000004</v>
      </c>
      <c r="Y92">
        <v>3.8</v>
      </c>
      <c r="Z92">
        <v>55.099999999999994</v>
      </c>
      <c r="AA92" s="6">
        <v>7.0832799999999994</v>
      </c>
      <c r="AB92" s="6">
        <f>Anthropometry[[#This Row],[Upper arm girth - R]]-(PI()*(Anthropometry[[#This Row],[Triceps]]/10))</f>
        <v>29.240708113989715</v>
      </c>
      <c r="AC92" s="6">
        <f>Anthropometry[[#This Row],[Mid-thighs]]-PI()*(Anthropometry[[#This Row],[Thigh]]/10)</f>
        <v>55.660619599741004</v>
      </c>
      <c r="AD92" s="6">
        <f>Anthropometry[[#This Row],[Mid-calf]]-PI()*(Anthropometry[[#This Row],[Calf]]/10)</f>
        <v>33.806194791635882</v>
      </c>
      <c r="AE92" s="6"/>
      <c r="AF92" s="6"/>
    </row>
    <row r="93" spans="1:32" ht="14.45">
      <c r="A93" t="s">
        <v>43</v>
      </c>
      <c r="B93" s="12">
        <v>43742</v>
      </c>
      <c r="C93" s="14">
        <v>0.35416666666666669</v>
      </c>
      <c r="D93">
        <v>176.5</v>
      </c>
      <c r="E93">
        <v>76</v>
      </c>
      <c r="F93" s="6">
        <v>24.396311662881494</v>
      </c>
      <c r="G93" s="13">
        <v>65.185017600000009</v>
      </c>
      <c r="H93" s="6">
        <v>10.814982399999998</v>
      </c>
      <c r="K93">
        <v>29.5</v>
      </c>
      <c r="M93">
        <v>104.5</v>
      </c>
      <c r="N93">
        <v>58.3</v>
      </c>
      <c r="O93" s="6">
        <v>155.07</v>
      </c>
      <c r="P93">
        <v>46</v>
      </c>
      <c r="Q93">
        <v>39.5</v>
      </c>
      <c r="R93">
        <v>14</v>
      </c>
      <c r="S93">
        <v>9.1999999999999993</v>
      </c>
      <c r="T93">
        <v>4</v>
      </c>
      <c r="U93">
        <v>10.3</v>
      </c>
      <c r="V93">
        <v>6.2</v>
      </c>
      <c r="W93">
        <v>12.2</v>
      </c>
      <c r="X93">
        <v>17.600000000000001</v>
      </c>
      <c r="Y93">
        <v>9.6</v>
      </c>
      <c r="Z93">
        <v>83.1</v>
      </c>
      <c r="AA93" s="6">
        <v>14.230239999999998</v>
      </c>
      <c r="AB93" s="6">
        <f>Anthropometry[[#This Row],[Upper arm girth - R]]-(PI()*(Anthropometry[[#This Row],[Triceps]]/10))</f>
        <v>25.10177028497429</v>
      </c>
      <c r="AC93" s="6">
        <f>Anthropometry[[#This Row],[Mid-thighs]]-PI()*(Anthropometry[[#This Row],[Thigh]]/10)</f>
        <v>52.770796929681964</v>
      </c>
      <c r="AD93" s="6">
        <f>Anthropometry[[#This Row],[Mid-calf]]-PI()*(Anthropometry[[#This Row],[Calf]]/10)</f>
        <v>36.484071052553801</v>
      </c>
      <c r="AE93" s="6"/>
      <c r="AF93" s="6"/>
    </row>
    <row r="94" spans="1:32" ht="14.45">
      <c r="A94" t="s">
        <v>39</v>
      </c>
      <c r="B94" s="12">
        <v>42523</v>
      </c>
      <c r="C94" s="14">
        <v>0.44166666666666665</v>
      </c>
      <c r="D94">
        <v>180.3</v>
      </c>
      <c r="E94">
        <v>84</v>
      </c>
      <c r="G94" s="6">
        <v>78.155985599999994</v>
      </c>
      <c r="H94" s="6">
        <v>5.8440143999999998</v>
      </c>
      <c r="I94">
        <v>48</v>
      </c>
      <c r="J94">
        <v>94</v>
      </c>
      <c r="K94">
        <v>30</v>
      </c>
      <c r="M94">
        <v>99.5</v>
      </c>
      <c r="N94">
        <v>59.5</v>
      </c>
      <c r="O94" s="6">
        <v>182.63099999999997</v>
      </c>
      <c r="P94" s="6"/>
      <c r="Q94">
        <v>40</v>
      </c>
      <c r="R94">
        <v>6.5</v>
      </c>
      <c r="S94">
        <v>7.4</v>
      </c>
      <c r="T94">
        <v>3.4</v>
      </c>
      <c r="U94">
        <v>9.8000000000000007</v>
      </c>
      <c r="V94">
        <v>5.7</v>
      </c>
      <c r="W94">
        <v>10.5</v>
      </c>
      <c r="X94">
        <v>7.1</v>
      </c>
      <c r="Y94">
        <v>4.4000000000000004</v>
      </c>
      <c r="Z94" s="6">
        <v>54.800000000000004</v>
      </c>
      <c r="AA94" s="6">
        <v>6.95716</v>
      </c>
      <c r="AB94" s="6">
        <f>Anthropometry[[#This Row],[Upper arm girth - R]]-(PI()*(Anthropometry[[#This Row],[Triceps]]/10))</f>
        <v>27.957964775166634</v>
      </c>
      <c r="AC94" s="6">
        <f>Anthropometry[[#This Row],[Mid-thighs]]-PI()*(Anthropometry[[#This Row],[Thigh]]/10)</f>
        <v>57.269469215951247</v>
      </c>
      <c r="AD94" s="6">
        <f>Anthropometry[[#This Row],[Mid-calf]]-PI()*(Anthropometry[[#This Row],[Calf]]/10)</f>
        <v>38.617699232420492</v>
      </c>
      <c r="AE94" s="6"/>
      <c r="AF94" s="6"/>
    </row>
    <row r="95" spans="1:32" ht="14.45">
      <c r="A95" t="s">
        <v>42</v>
      </c>
      <c r="B95" s="12">
        <v>42523</v>
      </c>
      <c r="C95" s="14">
        <v>0.53125</v>
      </c>
      <c r="D95">
        <v>166.5</v>
      </c>
      <c r="E95">
        <v>68.599999999999994</v>
      </c>
      <c r="F95" s="6">
        <v>20.600600600600597</v>
      </c>
      <c r="G95" s="6">
        <v>60.356612399999996</v>
      </c>
      <c r="H95" s="6">
        <v>8.2433876000000001</v>
      </c>
      <c r="I95">
        <v>44.5</v>
      </c>
      <c r="J95">
        <v>83</v>
      </c>
      <c r="K95">
        <v>28</v>
      </c>
      <c r="M95">
        <v>100.8</v>
      </c>
      <c r="N95">
        <v>56.5</v>
      </c>
      <c r="O95" s="6">
        <v>161.27599999999995</v>
      </c>
      <c r="Q95">
        <v>37.5</v>
      </c>
      <c r="R95">
        <v>10.8</v>
      </c>
      <c r="S95">
        <v>7.6</v>
      </c>
      <c r="T95">
        <v>3.6</v>
      </c>
      <c r="U95">
        <v>10.3</v>
      </c>
      <c r="V95">
        <v>6.5</v>
      </c>
      <c r="W95">
        <v>8.4</v>
      </c>
      <c r="X95">
        <v>10.6</v>
      </c>
      <c r="Y95">
        <v>10.6</v>
      </c>
      <c r="Z95">
        <v>68.399999999999991</v>
      </c>
      <c r="AA95" s="6">
        <v>12.0166</v>
      </c>
      <c r="AB95" s="6">
        <f>Anthropometry[[#This Row],[Upper arm girth - R]]-(PI()*(Anthropometry[[#This Row],[Triceps]]/10))</f>
        <v>24.607079934123021</v>
      </c>
      <c r="AC95" s="6">
        <f>Anthropometry[[#This Row],[Mid-thighs]]-PI()*(Anthropometry[[#This Row],[Thigh]]/10)</f>
        <v>53.16991178719482</v>
      </c>
      <c r="AD95" s="6">
        <f>Anthropometry[[#This Row],[Mid-calf]]-PI()*(Anthropometry[[#This Row],[Calf]]/10)</f>
        <v>34.16991178719482</v>
      </c>
      <c r="AE95" s="6"/>
      <c r="AF95" s="6"/>
    </row>
    <row r="96" spans="1:32" ht="14.45">
      <c r="A96" t="s">
        <v>43</v>
      </c>
      <c r="B96" s="12">
        <v>43861</v>
      </c>
      <c r="C96" s="14">
        <v>0.36458333333333331</v>
      </c>
      <c r="D96">
        <v>176.4</v>
      </c>
      <c r="E96">
        <v>75.900000000000006</v>
      </c>
      <c r="F96" s="6">
        <v>24.391842904962438</v>
      </c>
      <c r="G96" s="13">
        <v>65.251989000000009</v>
      </c>
      <c r="H96" s="6">
        <v>10.648011</v>
      </c>
      <c r="K96">
        <v>29.5</v>
      </c>
      <c r="M96">
        <v>103</v>
      </c>
      <c r="N96">
        <v>58.6</v>
      </c>
      <c r="O96" s="6">
        <v>157.72800000000001</v>
      </c>
      <c r="P96">
        <v>46</v>
      </c>
      <c r="Q96">
        <v>39</v>
      </c>
      <c r="R96">
        <v>14.4</v>
      </c>
      <c r="S96">
        <v>9</v>
      </c>
      <c r="T96">
        <v>4.2</v>
      </c>
      <c r="U96">
        <v>10.199999999999999</v>
      </c>
      <c r="V96">
        <v>5.6</v>
      </c>
      <c r="W96">
        <v>11.1</v>
      </c>
      <c r="X96">
        <v>17</v>
      </c>
      <c r="Y96">
        <v>10.4</v>
      </c>
      <c r="Z96">
        <v>81.900000000000006</v>
      </c>
      <c r="AA96" s="6">
        <v>14.029</v>
      </c>
      <c r="AB96" s="6">
        <f>Anthropometry[[#This Row],[Upper arm girth - R]]-(PI()*(Anthropometry[[#This Row],[Triceps]]/10))</f>
        <v>24.976106578830699</v>
      </c>
      <c r="AC96" s="6">
        <f>Anthropometry[[#This Row],[Mid-thighs]]-PI()*(Anthropometry[[#This Row],[Thigh]]/10)</f>
        <v>53.259292488897351</v>
      </c>
      <c r="AD96" s="6">
        <f>Anthropometry[[#This Row],[Mid-calf]]-PI()*(Anthropometry[[#This Row],[Calf]]/10)</f>
        <v>35.732743640266612</v>
      </c>
      <c r="AE96" s="6"/>
      <c r="AF96" s="6"/>
    </row>
    <row r="97" spans="1:32" ht="14.45">
      <c r="A97" t="s">
        <v>40</v>
      </c>
      <c r="B97" s="12">
        <v>42523</v>
      </c>
      <c r="C97" s="14">
        <v>0.4375</v>
      </c>
      <c r="D97" s="6">
        <v>182.1</v>
      </c>
      <c r="E97">
        <v>83.5</v>
      </c>
      <c r="G97" s="6">
        <v>77.567909499999999</v>
      </c>
      <c r="H97" s="6">
        <v>5.9320904999999993</v>
      </c>
      <c r="I97">
        <v>49.1</v>
      </c>
      <c r="J97">
        <v>94</v>
      </c>
      <c r="K97">
        <v>30.5</v>
      </c>
      <c r="M97">
        <v>100.5</v>
      </c>
      <c r="N97">
        <v>57.3</v>
      </c>
      <c r="O97" s="6">
        <v>175.88799999999998</v>
      </c>
      <c r="Q97">
        <v>35.200000000000003</v>
      </c>
      <c r="R97">
        <v>5.7</v>
      </c>
      <c r="S97">
        <v>10.3</v>
      </c>
      <c r="T97">
        <v>2.9</v>
      </c>
      <c r="U97">
        <v>8.8000000000000007</v>
      </c>
      <c r="V97">
        <v>5.4</v>
      </c>
      <c r="W97">
        <v>12.2</v>
      </c>
      <c r="X97">
        <v>5.4</v>
      </c>
      <c r="Y97">
        <v>4</v>
      </c>
      <c r="Z97">
        <v>54.699999999999996</v>
      </c>
      <c r="AA97" s="6">
        <v>7.1042999999999994</v>
      </c>
      <c r="AB97" s="6">
        <f>Anthropometry[[#This Row],[Upper arm girth - R]]-(PI()*(Anthropometry[[#This Row],[Triceps]]/10))</f>
        <v>28.709292187453819</v>
      </c>
      <c r="AC97" s="6">
        <f>Anthropometry[[#This Row],[Mid-thighs]]-PI()*(Anthropometry[[#This Row],[Thigh]]/10)</f>
        <v>55.603539967061508</v>
      </c>
      <c r="AD97" s="6">
        <f>Anthropometry[[#This Row],[Mid-calf]]-PI()*(Anthropometry[[#This Row],[Calf]]/10)</f>
        <v>33.943362938564086</v>
      </c>
      <c r="AE97" s="6"/>
      <c r="AF97" s="6"/>
    </row>
    <row r="98" spans="1:32" ht="14.45">
      <c r="A98" t="s">
        <v>44</v>
      </c>
      <c r="B98" s="12">
        <v>42550</v>
      </c>
      <c r="C98" s="14">
        <v>0.66666666666666663</v>
      </c>
      <c r="D98">
        <v>170.5</v>
      </c>
      <c r="E98">
        <v>61.7</v>
      </c>
      <c r="F98" s="6">
        <v>21.224447674168605</v>
      </c>
      <c r="G98" s="6">
        <v>53.817750959999998</v>
      </c>
      <c r="H98" s="6">
        <v>7.8822490400000005</v>
      </c>
      <c r="I98">
        <v>42.5</v>
      </c>
      <c r="J98">
        <v>83.5</v>
      </c>
      <c r="K98">
        <v>26</v>
      </c>
      <c r="M98">
        <v>95</v>
      </c>
      <c r="N98">
        <v>50.5</v>
      </c>
      <c r="O98" s="6">
        <v>124.83599999999997</v>
      </c>
      <c r="Q98">
        <v>34.4</v>
      </c>
      <c r="R98">
        <v>11.8</v>
      </c>
      <c r="S98">
        <v>6.8</v>
      </c>
      <c r="T98">
        <v>4.8</v>
      </c>
      <c r="U98">
        <v>8.1999999999999993</v>
      </c>
      <c r="V98">
        <v>6.2</v>
      </c>
      <c r="W98">
        <v>9.1999999999999993</v>
      </c>
      <c r="X98">
        <v>14.6</v>
      </c>
      <c r="Y98">
        <v>10.8</v>
      </c>
      <c r="Z98">
        <v>72.400000000000006</v>
      </c>
      <c r="AA98" s="6">
        <v>12.775120000000001</v>
      </c>
      <c r="AB98" s="6">
        <f>Anthropometry[[#This Row],[Upper arm girth - R]]-(PI()*(Anthropometry[[#This Row],[Triceps]]/10))</f>
        <v>22.292920668764044</v>
      </c>
      <c r="AC98" s="6">
        <f>Anthropometry[[#This Row],[Mid-thighs]]-PI()*(Anthropometry[[#This Row],[Thigh]]/10)</f>
        <v>45.913274725758903</v>
      </c>
      <c r="AD98" s="6">
        <f>Anthropometry[[#This Row],[Mid-calf]]-PI()*(Anthropometry[[#This Row],[Calf]]/10)</f>
        <v>31.00707993412302</v>
      </c>
      <c r="AE98" s="6"/>
      <c r="AF98" s="6"/>
    </row>
    <row r="99" spans="1:32" ht="14.45">
      <c r="A99" t="s">
        <v>39</v>
      </c>
      <c r="B99" s="12">
        <v>42556</v>
      </c>
      <c r="C99" s="14">
        <v>0.39305555555555555</v>
      </c>
      <c r="D99">
        <v>180.3</v>
      </c>
      <c r="E99">
        <v>83.6</v>
      </c>
      <c r="G99" s="6">
        <v>77.757455159999992</v>
      </c>
      <c r="H99" s="6">
        <v>5.8425448399999995</v>
      </c>
      <c r="I99">
        <v>115</v>
      </c>
      <c r="J99">
        <v>94.5</v>
      </c>
      <c r="K99">
        <v>31</v>
      </c>
      <c r="M99">
        <v>99.8</v>
      </c>
      <c r="N99">
        <v>59.5</v>
      </c>
      <c r="O99" s="6">
        <v>182.00399999999996</v>
      </c>
      <c r="P99" s="6"/>
      <c r="Q99">
        <v>39.700000000000003</v>
      </c>
      <c r="R99">
        <v>6.4</v>
      </c>
      <c r="S99">
        <v>7.2</v>
      </c>
      <c r="T99">
        <v>3.6</v>
      </c>
      <c r="U99">
        <v>9.4</v>
      </c>
      <c r="V99">
        <v>6.2</v>
      </c>
      <c r="W99">
        <v>10.4</v>
      </c>
      <c r="X99">
        <v>7.4</v>
      </c>
      <c r="Y99">
        <v>4.3</v>
      </c>
      <c r="Z99" s="6">
        <v>54.9</v>
      </c>
      <c r="AA99" s="6">
        <v>6.9886900000000001</v>
      </c>
      <c r="AB99" s="6">
        <f>Anthropometry[[#This Row],[Upper arm girth - R]]-(PI()*(Anthropometry[[#This Row],[Triceps]]/10))</f>
        <v>28.989380701702533</v>
      </c>
      <c r="AC99" s="6">
        <f>Anthropometry[[#This Row],[Mid-thighs]]-PI()*(Anthropometry[[#This Row],[Thigh]]/10)</f>
        <v>57.175221436343556</v>
      </c>
      <c r="AD99" s="6">
        <f>Anthropometry[[#This Row],[Mid-calf]]-PI()*(Anthropometry[[#This Row],[Calf]]/10)</f>
        <v>38.349115158956394</v>
      </c>
      <c r="AE99" s="6"/>
      <c r="AF99" s="6"/>
    </row>
    <row r="100" spans="1:32" ht="14.45">
      <c r="A100" t="s">
        <v>42</v>
      </c>
      <c r="B100" s="12">
        <v>42556</v>
      </c>
      <c r="C100" s="14">
        <v>0.53125</v>
      </c>
      <c r="D100">
        <v>166.5</v>
      </c>
      <c r="E100">
        <v>66.900000000000006</v>
      </c>
      <c r="F100" s="6">
        <v>20.09009009009009</v>
      </c>
      <c r="G100" s="6">
        <v>58.964455800000003</v>
      </c>
      <c r="H100" s="6">
        <v>7.9355442000000007</v>
      </c>
      <c r="I100">
        <v>107</v>
      </c>
      <c r="J100">
        <v>82</v>
      </c>
      <c r="K100">
        <v>27</v>
      </c>
      <c r="M100">
        <v>99.5</v>
      </c>
      <c r="N100">
        <v>56</v>
      </c>
      <c r="O100" s="6">
        <v>158.09999999999997</v>
      </c>
      <c r="Q100">
        <v>37.5</v>
      </c>
      <c r="R100">
        <v>10.8</v>
      </c>
      <c r="S100">
        <v>6.8</v>
      </c>
      <c r="T100">
        <v>3.8</v>
      </c>
      <c r="U100">
        <v>7.4</v>
      </c>
      <c r="V100">
        <v>5.8</v>
      </c>
      <c r="W100">
        <v>8.1</v>
      </c>
      <c r="X100">
        <v>11</v>
      </c>
      <c r="Y100">
        <v>11</v>
      </c>
      <c r="Z100">
        <v>64.7</v>
      </c>
      <c r="AA100" s="6">
        <v>11.861800000000001</v>
      </c>
      <c r="AB100" s="6">
        <f>Anthropometry[[#This Row],[Upper arm girth - R]]-(PI()*(Anthropometry[[#This Row],[Triceps]]/10))</f>
        <v>23.607079934123021</v>
      </c>
      <c r="AC100" s="6">
        <f>Anthropometry[[#This Row],[Mid-thighs]]-PI()*(Anthropometry[[#This Row],[Thigh]]/10)</f>
        <v>52.544248081051229</v>
      </c>
      <c r="AD100" s="6">
        <f>Anthropometry[[#This Row],[Mid-calf]]-PI()*(Anthropometry[[#This Row],[Calf]]/10)</f>
        <v>34.044248081051229</v>
      </c>
      <c r="AE100" s="6"/>
      <c r="AF100" s="6"/>
    </row>
    <row r="101" spans="1:32" ht="14.45">
      <c r="A101" t="s">
        <v>43</v>
      </c>
      <c r="B101" s="12">
        <v>43997</v>
      </c>
      <c r="C101" s="14">
        <v>0.32291666666666669</v>
      </c>
      <c r="D101">
        <v>177.2</v>
      </c>
      <c r="E101">
        <v>76.7</v>
      </c>
      <c r="F101" s="6">
        <v>24.426876060514964</v>
      </c>
      <c r="G101" s="13">
        <v>65.547942720000009</v>
      </c>
      <c r="H101" s="6">
        <v>11.152057279999999</v>
      </c>
      <c r="K101">
        <v>28.5</v>
      </c>
      <c r="M101">
        <v>106.3</v>
      </c>
      <c r="N101">
        <v>58.2</v>
      </c>
      <c r="O101" s="6">
        <v>152.721</v>
      </c>
      <c r="P101">
        <v>45.5</v>
      </c>
      <c r="Q101">
        <v>39</v>
      </c>
      <c r="R101">
        <v>15.3</v>
      </c>
      <c r="S101">
        <v>8.6</v>
      </c>
      <c r="T101">
        <v>4.4000000000000004</v>
      </c>
      <c r="U101">
        <v>12.4</v>
      </c>
      <c r="V101">
        <v>6.4</v>
      </c>
      <c r="W101">
        <v>12</v>
      </c>
      <c r="X101">
        <v>18.5</v>
      </c>
      <c r="Y101">
        <v>10</v>
      </c>
      <c r="Z101">
        <v>87.6</v>
      </c>
      <c r="AA101" s="6">
        <v>14.53984</v>
      </c>
      <c r="AB101" s="6">
        <f>Anthropometry[[#This Row],[Upper arm girth - R]]-(PI()*(Anthropometry[[#This Row],[Triceps]]/10))</f>
        <v>23.693363240007617</v>
      </c>
      <c r="AC101" s="6">
        <f>Anthropometry[[#This Row],[Mid-thighs]]-PI()*(Anthropometry[[#This Row],[Thigh]]/10)</f>
        <v>52.388053590858888</v>
      </c>
      <c r="AD101" s="6">
        <f>Anthropometry[[#This Row],[Mid-calf]]-PI()*(Anthropometry[[#This Row],[Calf]]/10)</f>
        <v>35.858407346410203</v>
      </c>
      <c r="AE101" s="6"/>
      <c r="AF101" s="6"/>
    </row>
    <row r="102" spans="1:32" ht="14.45">
      <c r="A102" t="s">
        <v>40</v>
      </c>
      <c r="B102" s="12">
        <v>42556</v>
      </c>
      <c r="C102" s="14">
        <v>0.3979166666666667</v>
      </c>
      <c r="D102" s="6">
        <v>182.1</v>
      </c>
      <c r="E102">
        <v>81.8</v>
      </c>
      <c r="G102" s="6">
        <v>76.238000819999996</v>
      </c>
      <c r="H102" s="6">
        <v>5.561999179999999</v>
      </c>
      <c r="I102">
        <v>116.5</v>
      </c>
      <c r="J102">
        <v>93.8</v>
      </c>
      <c r="K102">
        <v>30.5</v>
      </c>
      <c r="M102">
        <v>100.5</v>
      </c>
      <c r="N102">
        <v>56.5</v>
      </c>
      <c r="O102" s="6">
        <v>172.56199999999995</v>
      </c>
      <c r="Q102">
        <v>34.6</v>
      </c>
      <c r="R102">
        <v>5.5</v>
      </c>
      <c r="S102">
        <v>9.4</v>
      </c>
      <c r="T102">
        <v>3</v>
      </c>
      <c r="U102">
        <v>6</v>
      </c>
      <c r="V102">
        <v>5.4</v>
      </c>
      <c r="W102">
        <v>11</v>
      </c>
      <c r="X102">
        <v>5.2</v>
      </c>
      <c r="Y102">
        <v>3.6</v>
      </c>
      <c r="Z102">
        <v>49.1</v>
      </c>
      <c r="AA102" s="6">
        <v>6.7995099999999997</v>
      </c>
      <c r="AB102" s="6">
        <f>Anthropometry[[#This Row],[Upper arm girth - R]]-(PI()*(Anthropometry[[#This Row],[Triceps]]/10))</f>
        <v>28.772124040525615</v>
      </c>
      <c r="AC102" s="6">
        <f>Anthropometry[[#This Row],[Mid-thighs]]-PI()*(Anthropometry[[#This Row],[Thigh]]/10)</f>
        <v>54.86637182013331</v>
      </c>
      <c r="AD102" s="6">
        <f>Anthropometry[[#This Row],[Mid-calf]]-PI()*(Anthropometry[[#This Row],[Calf]]/10)</f>
        <v>33.469026644707675</v>
      </c>
      <c r="AE102" s="6"/>
      <c r="AF102" s="6"/>
    </row>
    <row r="103" spans="1:32" ht="14.45">
      <c r="A103" t="s">
        <v>44</v>
      </c>
      <c r="B103" s="12">
        <v>42649</v>
      </c>
      <c r="C103" s="14">
        <v>0.42708333333333331</v>
      </c>
      <c r="D103">
        <v>171.6</v>
      </c>
      <c r="E103">
        <v>61.3</v>
      </c>
      <c r="F103" s="6">
        <v>20.817372215973617</v>
      </c>
      <c r="G103" s="6">
        <v>52.871029319999998</v>
      </c>
      <c r="H103" s="6">
        <v>8.4289706800000008</v>
      </c>
      <c r="I103">
        <v>43.7</v>
      </c>
      <c r="J103">
        <v>82</v>
      </c>
      <c r="K103">
        <v>25.8</v>
      </c>
      <c r="M103">
        <v>94.5</v>
      </c>
      <c r="N103">
        <v>50.5</v>
      </c>
      <c r="O103" s="6">
        <v>123.16399999999997</v>
      </c>
      <c r="Q103">
        <v>33.5</v>
      </c>
      <c r="R103">
        <v>13.2</v>
      </c>
      <c r="S103">
        <v>7.2</v>
      </c>
      <c r="T103">
        <v>4.4000000000000004</v>
      </c>
      <c r="U103">
        <v>10.4</v>
      </c>
      <c r="V103">
        <v>8</v>
      </c>
      <c r="W103">
        <v>11.5</v>
      </c>
      <c r="X103">
        <v>15.4</v>
      </c>
      <c r="Y103">
        <v>10.4</v>
      </c>
      <c r="Z103">
        <v>80.5</v>
      </c>
      <c r="AA103" s="6">
        <v>13.750360000000001</v>
      </c>
      <c r="AB103" s="6">
        <f>Anthropometry[[#This Row],[Upper arm girth - R]]-(PI()*(Anthropometry[[#This Row],[Triceps]]/10))</f>
        <v>21.653097697261472</v>
      </c>
      <c r="AC103" s="6">
        <f>Anthropometry[[#This Row],[Mid-thighs]]-PI()*(Anthropometry[[#This Row],[Thigh]]/10)</f>
        <v>45.661947313471721</v>
      </c>
      <c r="AD103" s="6">
        <f>Anthropometry[[#This Row],[Mid-calf]]-PI()*(Anthropometry[[#This Row],[Calf]]/10)</f>
        <v>30.232743640266616</v>
      </c>
      <c r="AE103" s="6"/>
      <c r="AF103" s="6"/>
    </row>
    <row r="104" spans="1:32" ht="14.45">
      <c r="A104" t="s">
        <v>41</v>
      </c>
      <c r="B104" s="12">
        <v>42649</v>
      </c>
      <c r="C104" s="14">
        <v>0.40625</v>
      </c>
      <c r="D104">
        <v>177.8</v>
      </c>
      <c r="E104">
        <v>84.9</v>
      </c>
      <c r="G104" s="6">
        <v>79.029063120000004</v>
      </c>
      <c r="H104" s="6">
        <v>5.8709368800000004</v>
      </c>
      <c r="I104">
        <v>51</v>
      </c>
      <c r="J104">
        <v>99</v>
      </c>
      <c r="K104">
        <v>31.5</v>
      </c>
      <c r="M104">
        <v>99.5</v>
      </c>
      <c r="N104">
        <v>58.5</v>
      </c>
      <c r="O104" s="6">
        <v>181.71299999999997</v>
      </c>
      <c r="Q104">
        <v>37.5</v>
      </c>
      <c r="R104">
        <v>6.5</v>
      </c>
      <c r="S104">
        <v>7.8</v>
      </c>
      <c r="T104">
        <v>3.5</v>
      </c>
      <c r="U104">
        <v>10.5</v>
      </c>
      <c r="V104">
        <v>5.8</v>
      </c>
      <c r="W104">
        <v>10.8</v>
      </c>
      <c r="X104">
        <v>5.3</v>
      </c>
      <c r="Y104">
        <v>5</v>
      </c>
      <c r="Z104">
        <v>55.2</v>
      </c>
      <c r="AA104" s="6">
        <v>6.9151199999999999</v>
      </c>
      <c r="AB104" s="6">
        <f>Anthropometry[[#This Row],[Upper arm girth - R]]-(PI()*(Anthropometry[[#This Row],[Triceps]]/10))</f>
        <v>29.457964775166634</v>
      </c>
      <c r="AC104" s="6">
        <f>Anthropometry[[#This Row],[Mid-thighs]]-PI()*(Anthropometry[[#This Row],[Thigh]]/10)</f>
        <v>56.83495589359741</v>
      </c>
      <c r="AD104" s="6">
        <f>Anthropometry[[#This Row],[Mid-calf]]-PI()*(Anthropometry[[#This Row],[Calf]]/10)</f>
        <v>35.929203673205102</v>
      </c>
      <c r="AE104" s="6"/>
      <c r="AF104" s="6"/>
    </row>
    <row r="105" spans="1:32" ht="14.45">
      <c r="A105" t="s">
        <v>43</v>
      </c>
      <c r="B105" s="12">
        <v>44082</v>
      </c>
      <c r="C105" s="14">
        <v>0.36458333333333298</v>
      </c>
      <c r="D105" s="6">
        <v>176.2</v>
      </c>
      <c r="E105">
        <v>80</v>
      </c>
      <c r="F105" s="6">
        <f>(E105/((D105/100)*(D105/100)))</f>
        <v>25.76784971159335</v>
      </c>
      <c r="G105" s="13">
        <f>E105/100*(100-AA105)</f>
        <v>66.522912000000005</v>
      </c>
      <c r="H105" s="6">
        <f>E105/100*AA105</f>
        <v>13.477088000000002</v>
      </c>
      <c r="K105">
        <v>29.5</v>
      </c>
      <c r="M105">
        <v>107</v>
      </c>
      <c r="N105">
        <v>58</v>
      </c>
      <c r="O105" s="6">
        <f>(((4.68*N105)-(2.09*X105))-80.99)</f>
        <v>144.88799999999998</v>
      </c>
      <c r="P105">
        <v>45.5</v>
      </c>
      <c r="Q105">
        <v>40</v>
      </c>
      <c r="R105">
        <v>20.2</v>
      </c>
      <c r="S105">
        <v>10.5</v>
      </c>
      <c r="T105">
        <v>4.8</v>
      </c>
      <c r="U105">
        <v>13.4</v>
      </c>
      <c r="V105">
        <v>7.2</v>
      </c>
      <c r="W105">
        <v>13.8</v>
      </c>
      <c r="X105">
        <v>21.8</v>
      </c>
      <c r="Y105">
        <v>12.2</v>
      </c>
      <c r="Z105">
        <f>SUM(R105:Y105)</f>
        <v>103.9</v>
      </c>
      <c r="AA105" s="6">
        <f>((0.1548*SUM(R105:S105,V105:Y105))+3.58)</f>
        <v>16.846360000000001</v>
      </c>
      <c r="AB105" s="6">
        <f>Anthropometry[[#This Row],[Upper arm girth - R]]-(PI()*(Anthropometry[[#This Row],[Triceps]]/10))</f>
        <v>23.153982839748618</v>
      </c>
      <c r="AC105" s="6">
        <f>Anthropometry[[#This Row],[Mid-thighs]]-PI()*(Anthropometry[[#This Row],[Thigh]]/10)</f>
        <v>51.151328015174251</v>
      </c>
      <c r="AD105" s="6">
        <f>Anthropometry[[#This Row],[Mid-calf]]-PI()*(Anthropometry[[#This Row],[Calf]]/10)</f>
        <v>36.167256962620449</v>
      </c>
      <c r="AE105" s="6"/>
      <c r="AF105" s="6"/>
    </row>
    <row r="106" spans="1:32" ht="14.45">
      <c r="A106" t="s">
        <v>45</v>
      </c>
      <c r="B106" s="12">
        <v>42650</v>
      </c>
      <c r="C106" s="14">
        <v>0.52083333333333337</v>
      </c>
      <c r="D106" s="6">
        <v>174.5</v>
      </c>
      <c r="E106">
        <v>76</v>
      </c>
      <c r="G106" s="6">
        <f>E106/100*(100-AA106)</f>
        <v>70.137451200000001</v>
      </c>
      <c r="H106" s="6">
        <f>E106/100*AA106</f>
        <v>5.8625487999999999</v>
      </c>
      <c r="I106">
        <v>46.5</v>
      </c>
      <c r="J106">
        <v>93.4</v>
      </c>
      <c r="K106">
        <v>29</v>
      </c>
      <c r="M106">
        <v>98</v>
      </c>
      <c r="N106">
        <v>56.5</v>
      </c>
      <c r="O106" s="6">
        <f>(((4.68*N106)-(2.09*X106))-80.99)</f>
        <v>161.27599999999995</v>
      </c>
      <c r="P106">
        <v>45</v>
      </c>
      <c r="Q106">
        <v>38.200000000000003</v>
      </c>
      <c r="R106">
        <v>6.4</v>
      </c>
      <c r="S106">
        <v>9.1999999999999993</v>
      </c>
      <c r="T106">
        <v>3.3</v>
      </c>
      <c r="U106">
        <v>10.4</v>
      </c>
      <c r="V106">
        <v>5.8</v>
      </c>
      <c r="W106">
        <v>12.5</v>
      </c>
      <c r="X106">
        <v>10.6</v>
      </c>
      <c r="Y106">
        <v>4.3</v>
      </c>
      <c r="Z106">
        <f>SUM(R106:Y106)</f>
        <v>62.499999999999993</v>
      </c>
      <c r="AA106" s="6">
        <f>((0.1051*SUM(R106:S106,V106:Y106))+2.585)</f>
        <v>7.7138799999999996</v>
      </c>
      <c r="AB106" s="6">
        <f>Anthropometry[[#This Row],[Upper arm girth - R]]-(PI()*(Anthropometry[[#This Row],[Triceps]]/10))</f>
        <v>26.989380701702533</v>
      </c>
      <c r="AC106" s="6">
        <f>Anthropometry[[#This Row],[Mid-thighs]]-PI()*(Anthropometry[[#This Row],[Thigh]]/10)</f>
        <v>53.16991178719482</v>
      </c>
      <c r="AD106" s="6">
        <f>Anthropometry[[#This Row],[Mid-calf]]-PI()*(Anthropometry[[#This Row],[Calf]]/10)</f>
        <v>36.849115158956394</v>
      </c>
      <c r="AE106" s="6"/>
      <c r="AF106" s="6"/>
    </row>
    <row r="107" spans="1:32" ht="14.45">
      <c r="A107" t="s">
        <v>40</v>
      </c>
      <c r="B107" s="12">
        <v>42675</v>
      </c>
      <c r="C107" s="14">
        <v>0.35416666666666669</v>
      </c>
      <c r="D107" s="6">
        <v>182.8</v>
      </c>
      <c r="E107">
        <v>83.1</v>
      </c>
      <c r="G107" s="6">
        <v>76.750902389999993</v>
      </c>
      <c r="H107" s="6">
        <v>6.3490976100000003</v>
      </c>
      <c r="I107">
        <v>48.5</v>
      </c>
      <c r="J107">
        <v>94.5</v>
      </c>
      <c r="K107">
        <v>30.8</v>
      </c>
      <c r="M107">
        <v>101.5</v>
      </c>
      <c r="N107">
        <v>57.8</v>
      </c>
      <c r="O107" s="6">
        <v>176.76499999999993</v>
      </c>
      <c r="Q107">
        <v>34.4</v>
      </c>
      <c r="R107">
        <v>6.1</v>
      </c>
      <c r="S107">
        <v>10.1</v>
      </c>
      <c r="T107">
        <v>2.7</v>
      </c>
      <c r="U107">
        <v>8.1999999999999993</v>
      </c>
      <c r="V107">
        <v>5.7</v>
      </c>
      <c r="W107">
        <v>15.8</v>
      </c>
      <c r="X107">
        <v>6.1</v>
      </c>
      <c r="Y107">
        <v>4.3</v>
      </c>
      <c r="Z107">
        <v>58.999999999999993</v>
      </c>
      <c r="AA107" s="6">
        <v>7.6403100000000004</v>
      </c>
      <c r="AB107" s="6">
        <f>Anthropometry[[#This Row],[Upper arm girth - R]]-(PI()*(Anthropometry[[#This Row],[Triceps]]/10))</f>
        <v>28.883628481310225</v>
      </c>
      <c r="AC107" s="6">
        <f>Anthropometry[[#This Row],[Mid-thighs]]-PI()*(Anthropometry[[#This Row],[Thigh]]/10)</f>
        <v>55.883628481310225</v>
      </c>
      <c r="AD107" s="6">
        <f>Anthropometry[[#This Row],[Mid-calf]]-PI()*(Anthropometry[[#This Row],[Calf]]/10)</f>
        <v>33.04911515895639</v>
      </c>
      <c r="AE107" s="6"/>
      <c r="AF107" s="6"/>
    </row>
    <row r="108" spans="1:32" ht="14.45">
      <c r="A108" t="s">
        <v>39</v>
      </c>
      <c r="B108" s="12">
        <v>42690</v>
      </c>
      <c r="C108" s="14">
        <v>0.35416666666666669</v>
      </c>
      <c r="D108">
        <v>180.7</v>
      </c>
      <c r="E108">
        <v>83.8</v>
      </c>
      <c r="G108" s="6">
        <v>77.397420220000001</v>
      </c>
      <c r="H108" s="6">
        <v>6.4025797799999999</v>
      </c>
      <c r="I108" s="15"/>
      <c r="J108">
        <v>94.5</v>
      </c>
      <c r="K108">
        <v>30</v>
      </c>
      <c r="M108">
        <v>99.2</v>
      </c>
      <c r="N108">
        <v>59</v>
      </c>
      <c r="O108" s="6">
        <v>177.15600000000001</v>
      </c>
      <c r="P108" s="6"/>
      <c r="Q108">
        <v>40</v>
      </c>
      <c r="R108">
        <v>6.9</v>
      </c>
      <c r="S108">
        <v>7.2</v>
      </c>
      <c r="T108">
        <v>3.6</v>
      </c>
      <c r="U108">
        <v>13.8</v>
      </c>
      <c r="V108">
        <v>6.6</v>
      </c>
      <c r="W108">
        <v>14</v>
      </c>
      <c r="X108">
        <v>8.6</v>
      </c>
      <c r="Y108">
        <v>4.8</v>
      </c>
      <c r="Z108" s="6">
        <v>65.5</v>
      </c>
      <c r="AA108" s="6">
        <v>7.6403100000000004</v>
      </c>
      <c r="AB108" s="6">
        <f>Anthropometry[[#This Row],[Upper arm girth - R]]-(PI()*(Anthropometry[[#This Row],[Triceps]]/10))</f>
        <v>27.832301069023043</v>
      </c>
      <c r="AC108" s="6">
        <f>Anthropometry[[#This Row],[Mid-thighs]]-PI()*(Anthropometry[[#This Row],[Thigh]]/10)</f>
        <v>56.298230317912775</v>
      </c>
      <c r="AD108" s="6">
        <f>Anthropometry[[#This Row],[Mid-calf]]-PI()*(Anthropometry[[#This Row],[Calf]]/10)</f>
        <v>38.492035526276901</v>
      </c>
      <c r="AE108" s="6"/>
      <c r="AF108" s="6"/>
    </row>
    <row r="109" spans="1:32" ht="14.45">
      <c r="A109" t="s">
        <v>42</v>
      </c>
      <c r="B109" s="12">
        <v>42698</v>
      </c>
      <c r="C109" s="14">
        <v>0.41666666666666669</v>
      </c>
      <c r="D109">
        <v>167.2</v>
      </c>
      <c r="E109">
        <v>67.900000000000006</v>
      </c>
      <c r="F109" s="6">
        <v>20.305023923444978</v>
      </c>
      <c r="G109" s="6">
        <v>59.604086640000006</v>
      </c>
      <c r="H109" s="6">
        <v>8.2959133600000019</v>
      </c>
      <c r="I109">
        <v>44.4</v>
      </c>
      <c r="J109">
        <v>86</v>
      </c>
      <c r="K109">
        <v>27.5</v>
      </c>
      <c r="M109">
        <v>98</v>
      </c>
      <c r="N109">
        <v>55</v>
      </c>
      <c r="O109" s="6">
        <v>150.70299999999997</v>
      </c>
      <c r="Q109">
        <v>37.200000000000003</v>
      </c>
      <c r="R109">
        <v>8.6</v>
      </c>
      <c r="S109">
        <v>7.6</v>
      </c>
      <c r="T109">
        <v>3.9</v>
      </c>
      <c r="U109">
        <v>10</v>
      </c>
      <c r="V109">
        <v>6.9</v>
      </c>
      <c r="W109">
        <v>10.3</v>
      </c>
      <c r="X109">
        <v>12.3</v>
      </c>
      <c r="Y109">
        <v>10.1</v>
      </c>
      <c r="Z109">
        <v>69.699999999999989</v>
      </c>
      <c r="AA109" s="6">
        <v>12.217840000000001</v>
      </c>
      <c r="AB109" s="6">
        <f>Anthropometry[[#This Row],[Upper arm girth - R]]-(PI()*(Anthropometry[[#This Row],[Triceps]]/10))</f>
        <v>24.798230317912779</v>
      </c>
      <c r="AC109" s="6">
        <f>Anthropometry[[#This Row],[Mid-thighs]]-PI()*(Anthropometry[[#This Row],[Thigh]]/10)</f>
        <v>51.135841036084557</v>
      </c>
      <c r="AD109" s="6">
        <f>Anthropometry[[#This Row],[Mid-calf]]-PI()*(Anthropometry[[#This Row],[Calf]]/10)</f>
        <v>34.026991419874314</v>
      </c>
      <c r="AE109" s="6"/>
      <c r="AF109" s="6"/>
    </row>
    <row r="110" spans="1:32" ht="14.45">
      <c r="A110" t="s">
        <v>45</v>
      </c>
      <c r="B110" s="12">
        <v>42718</v>
      </c>
      <c r="C110" s="14">
        <v>0.45833333333333331</v>
      </c>
      <c r="D110" s="6">
        <v>174.5</v>
      </c>
      <c r="E110">
        <v>76.099999999999994</v>
      </c>
      <c r="G110" s="6">
        <f>E110/100*(100-AA110)</f>
        <v>70.165752439999991</v>
      </c>
      <c r="H110" s="6">
        <f>E110/100*AA110</f>
        <v>5.9342475599999993</v>
      </c>
      <c r="I110">
        <v>46.2</v>
      </c>
      <c r="J110">
        <v>92.5</v>
      </c>
      <c r="K110">
        <v>28.5</v>
      </c>
      <c r="M110">
        <v>96</v>
      </c>
      <c r="N110">
        <v>56</v>
      </c>
      <c r="O110" s="6">
        <f>(((4.68*N110)-(2.09*X110))-80.99)</f>
        <v>156.01</v>
      </c>
      <c r="P110">
        <v>45.5</v>
      </c>
      <c r="Q110">
        <v>38.5</v>
      </c>
      <c r="R110">
        <v>6.6</v>
      </c>
      <c r="S110">
        <v>9.4</v>
      </c>
      <c r="T110">
        <v>3.6</v>
      </c>
      <c r="U110">
        <v>9.8000000000000007</v>
      </c>
      <c r="V110">
        <v>5.6</v>
      </c>
      <c r="W110">
        <v>11.4</v>
      </c>
      <c r="X110">
        <v>12</v>
      </c>
      <c r="Y110">
        <v>4.5999999999999996</v>
      </c>
      <c r="Z110">
        <f>SUM(R110:Y110)</f>
        <v>63</v>
      </c>
      <c r="AA110" s="6">
        <f>((0.1051*SUM(R110:S110,V110:Y110))+2.585)</f>
        <v>7.7979599999999998</v>
      </c>
      <c r="AB110" s="6">
        <f>Anthropometry[[#This Row],[Upper arm girth - R]]-(PI()*(Anthropometry[[#This Row],[Triceps]]/10))</f>
        <v>26.426548848630738</v>
      </c>
      <c r="AC110" s="6">
        <f>Anthropometry[[#This Row],[Mid-thighs]]-PI()*(Anthropometry[[#This Row],[Thigh]]/10)</f>
        <v>52.230088815692248</v>
      </c>
      <c r="AD110" s="6">
        <f>Anthropometry[[#This Row],[Mid-calf]]-PI()*(Anthropometry[[#This Row],[Calf]]/10)</f>
        <v>37.054867379348693</v>
      </c>
      <c r="AE110" s="6"/>
      <c r="AF110" s="6"/>
    </row>
    <row r="111" spans="1:32" ht="14.45">
      <c r="A111" t="s">
        <v>44</v>
      </c>
      <c r="B111" s="12">
        <v>42719</v>
      </c>
      <c r="C111" s="14">
        <v>0.38541666666666669</v>
      </c>
      <c r="D111">
        <v>171.6</v>
      </c>
      <c r="E111">
        <v>61.1</v>
      </c>
      <c r="F111" s="6">
        <v>20.749452567634389</v>
      </c>
      <c r="G111" s="6">
        <v>52.26344916</v>
      </c>
      <c r="H111" s="6">
        <v>8.836550840000001</v>
      </c>
      <c r="I111">
        <v>41.2</v>
      </c>
      <c r="J111">
        <v>82.5</v>
      </c>
      <c r="K111">
        <v>26.5</v>
      </c>
      <c r="M111">
        <v>93.2</v>
      </c>
      <c r="N111">
        <v>51</v>
      </c>
      <c r="O111" s="6">
        <v>116.72599999999998</v>
      </c>
      <c r="P111">
        <v>41.8</v>
      </c>
      <c r="Q111">
        <v>34</v>
      </c>
      <c r="R111">
        <v>13</v>
      </c>
      <c r="S111">
        <v>8</v>
      </c>
      <c r="T111">
        <v>4.5999999999999996</v>
      </c>
      <c r="U111">
        <v>9</v>
      </c>
      <c r="V111">
        <v>6.2</v>
      </c>
      <c r="W111">
        <v>11</v>
      </c>
      <c r="X111">
        <v>19.600000000000001</v>
      </c>
      <c r="Y111">
        <v>12.5</v>
      </c>
      <c r="Z111">
        <v>83.9</v>
      </c>
      <c r="AA111" s="6">
        <v>14.462440000000001</v>
      </c>
      <c r="AB111" s="6">
        <f>Anthropometry[[#This Row],[Upper arm girth - R]]-(PI()*(Anthropometry[[#This Row],[Triceps]]/10))</f>
        <v>22.415929550333267</v>
      </c>
      <c r="AC111" s="6">
        <f>Anthropometry[[#This Row],[Mid-thighs]]-PI()*(Anthropometry[[#This Row],[Thigh]]/10)</f>
        <v>44.842478398964005</v>
      </c>
      <c r="AD111" s="6">
        <f>Anthropometry[[#This Row],[Mid-calf]]-PI()*(Anthropometry[[#This Row],[Calf]]/10)</f>
        <v>30.073009183012758</v>
      </c>
      <c r="AE111" s="6"/>
      <c r="AF111" s="6"/>
    </row>
    <row r="112" spans="1:32" ht="14.45">
      <c r="A112" t="s">
        <v>39</v>
      </c>
      <c r="B112" s="12">
        <v>42719</v>
      </c>
      <c r="C112" s="14">
        <v>0.33680555555555558</v>
      </c>
      <c r="D112">
        <v>180.8</v>
      </c>
      <c r="E112">
        <v>84.4</v>
      </c>
      <c r="G112" s="6">
        <v>77.98706012000001</v>
      </c>
      <c r="H112" s="6">
        <v>6.4129398799999997</v>
      </c>
      <c r="I112">
        <v>47.9</v>
      </c>
      <c r="J112">
        <v>94.5</v>
      </c>
      <c r="K112">
        <v>30</v>
      </c>
      <c r="M112">
        <v>99.2</v>
      </c>
      <c r="N112">
        <v>59.7</v>
      </c>
      <c r="O112" s="6">
        <v>181.68600000000004</v>
      </c>
      <c r="P112">
        <v>49</v>
      </c>
      <c r="Q112">
        <v>40.5</v>
      </c>
      <c r="R112">
        <v>6.6</v>
      </c>
      <c r="S112">
        <v>7.4</v>
      </c>
      <c r="T112">
        <v>3.2</v>
      </c>
      <c r="U112">
        <v>12.8</v>
      </c>
      <c r="V112">
        <v>7</v>
      </c>
      <c r="W112">
        <v>13.8</v>
      </c>
      <c r="X112">
        <v>8</v>
      </c>
      <c r="Y112">
        <v>4.9000000000000004</v>
      </c>
      <c r="Z112" s="6">
        <v>63.699999999999996</v>
      </c>
      <c r="AA112" s="6">
        <v>7.5982699999999994</v>
      </c>
      <c r="AB112" s="6">
        <f>Anthropometry[[#This Row],[Upper arm girth - R]]-(PI()*(Anthropometry[[#This Row],[Triceps]]/10))</f>
        <v>27.926548848630738</v>
      </c>
      <c r="AC112" s="6">
        <f>Anthropometry[[#This Row],[Mid-thighs]]-PI()*(Anthropometry[[#This Row],[Thigh]]/10)</f>
        <v>57.186725877128168</v>
      </c>
      <c r="AD112" s="6">
        <f>Anthropometry[[#This Row],[Mid-calf]]-PI()*(Anthropometry[[#This Row],[Calf]]/10)</f>
        <v>38.960619599741001</v>
      </c>
      <c r="AE112" s="6"/>
      <c r="AF112" s="6"/>
    </row>
    <row r="113" spans="1:32" ht="14.45">
      <c r="A113" t="s">
        <v>41</v>
      </c>
      <c r="B113" s="12">
        <v>42719</v>
      </c>
      <c r="C113" s="14">
        <v>0.34722222222222227</v>
      </c>
      <c r="D113">
        <v>177.8</v>
      </c>
      <c r="E113">
        <v>86.3</v>
      </c>
      <c r="G113" s="6">
        <v>80.241550140000001</v>
      </c>
      <c r="H113" s="6">
        <v>6.0584498599999996</v>
      </c>
      <c r="I113">
        <v>51.2</v>
      </c>
      <c r="J113">
        <v>101</v>
      </c>
      <c r="K113">
        <v>31</v>
      </c>
      <c r="M113">
        <v>100.5</v>
      </c>
      <c r="N113">
        <v>58.5</v>
      </c>
      <c r="O113" s="6">
        <v>181.92199999999997</v>
      </c>
      <c r="P113">
        <v>45.5</v>
      </c>
      <c r="Q113">
        <v>37.799999999999997</v>
      </c>
      <c r="R113">
        <v>6.8</v>
      </c>
      <c r="S113">
        <v>8.1</v>
      </c>
      <c r="T113">
        <v>3.5</v>
      </c>
      <c r="U113">
        <v>10.199999999999999</v>
      </c>
      <c r="V113">
        <v>6.3</v>
      </c>
      <c r="W113">
        <v>10.8</v>
      </c>
      <c r="X113">
        <v>5.2</v>
      </c>
      <c r="Y113">
        <v>5</v>
      </c>
      <c r="Z113">
        <v>55.900000000000006</v>
      </c>
      <c r="AA113" s="6">
        <v>7.0202200000000001</v>
      </c>
      <c r="AB113" s="6">
        <f>Anthropometry[[#This Row],[Upper arm girth - R]]-(PI()*(Anthropometry[[#This Row],[Triceps]]/10))</f>
        <v>28.863716995558942</v>
      </c>
      <c r="AC113" s="6">
        <f>Anthropometry[[#This Row],[Mid-thighs]]-PI()*(Anthropometry[[#This Row],[Thigh]]/10)</f>
        <v>56.86637182013331</v>
      </c>
      <c r="AD113" s="6">
        <f>Anthropometry[[#This Row],[Mid-calf]]-PI()*(Anthropometry[[#This Row],[Calf]]/10)</f>
        <v>36.229203673205099</v>
      </c>
      <c r="AE113" s="6"/>
      <c r="AF113" s="6"/>
    </row>
    <row r="114" spans="1:32" ht="14.45">
      <c r="A114" t="s">
        <v>42</v>
      </c>
      <c r="B114" s="12">
        <v>42719</v>
      </c>
      <c r="C114" s="14">
        <v>0.4375</v>
      </c>
      <c r="D114">
        <v>167.2</v>
      </c>
      <c r="E114">
        <v>67.599999999999994</v>
      </c>
      <c r="F114" s="6">
        <v>20.215311004784688</v>
      </c>
      <c r="G114" s="6">
        <v>59.089592639999992</v>
      </c>
      <c r="H114" s="6">
        <v>8.5104073599999985</v>
      </c>
      <c r="I114">
        <v>44.2</v>
      </c>
      <c r="J114">
        <v>83.5</v>
      </c>
      <c r="K114">
        <v>26</v>
      </c>
      <c r="M114">
        <v>96.5</v>
      </c>
      <c r="N114">
        <v>54.7</v>
      </c>
      <c r="O114" s="6">
        <v>151.18</v>
      </c>
      <c r="P114">
        <v>46.8</v>
      </c>
      <c r="Q114">
        <v>38</v>
      </c>
      <c r="R114">
        <v>9.9</v>
      </c>
      <c r="S114">
        <v>7.8</v>
      </c>
      <c r="T114">
        <v>3.8</v>
      </c>
      <c r="U114">
        <v>8.8000000000000007</v>
      </c>
      <c r="V114">
        <v>6.3</v>
      </c>
      <c r="W114">
        <v>10.8</v>
      </c>
      <c r="X114">
        <v>11.4</v>
      </c>
      <c r="Y114">
        <v>12</v>
      </c>
      <c r="Z114">
        <v>70.800000000000011</v>
      </c>
      <c r="AA114" s="6">
        <v>12.589359999999999</v>
      </c>
      <c r="AB114" s="6">
        <f>Anthropometry[[#This Row],[Upper arm girth - R]]-(PI()*(Anthropometry[[#This Row],[Triceps]]/10))</f>
        <v>22.889823272946103</v>
      </c>
      <c r="AC114" s="6">
        <f>Anthropometry[[#This Row],[Mid-thighs]]-PI()*(Anthropometry[[#This Row],[Thigh]]/10)</f>
        <v>51.118584374907641</v>
      </c>
      <c r="AD114" s="6">
        <f>Anthropometry[[#This Row],[Mid-calf]]-PI()*(Anthropometry[[#This Row],[Calf]]/10)</f>
        <v>34.230088815692248</v>
      </c>
      <c r="AE114" s="6"/>
      <c r="AF114" s="6"/>
    </row>
    <row r="115" spans="1:32" ht="14.45">
      <c r="A115" t="s">
        <v>40</v>
      </c>
      <c r="B115" s="12">
        <v>42719</v>
      </c>
      <c r="C115" s="14">
        <v>0.35416666666666669</v>
      </c>
      <c r="D115" s="6">
        <v>182.8</v>
      </c>
      <c r="E115">
        <v>83.5</v>
      </c>
      <c r="G115" s="6">
        <v>76.962375849999987</v>
      </c>
      <c r="H115" s="6">
        <v>6.5376241500000001</v>
      </c>
      <c r="I115">
        <v>48.7</v>
      </c>
      <c r="J115">
        <v>94.5</v>
      </c>
      <c r="K115">
        <v>30.5</v>
      </c>
      <c r="M115">
        <v>100.5</v>
      </c>
      <c r="N115">
        <v>56.5</v>
      </c>
      <c r="O115" s="6">
        <v>172.56199999999995</v>
      </c>
      <c r="P115">
        <v>46.5</v>
      </c>
      <c r="Q115">
        <v>35.5</v>
      </c>
      <c r="R115">
        <v>6.2</v>
      </c>
      <c r="S115">
        <v>10.8</v>
      </c>
      <c r="T115">
        <v>2.9</v>
      </c>
      <c r="U115">
        <v>10</v>
      </c>
      <c r="V115">
        <v>6.8</v>
      </c>
      <c r="W115">
        <v>16.399999999999999</v>
      </c>
      <c r="X115">
        <v>5.2</v>
      </c>
      <c r="Y115">
        <v>4.5</v>
      </c>
      <c r="Z115">
        <v>62.8</v>
      </c>
      <c r="AA115" s="6">
        <v>7.8294900000000007</v>
      </c>
      <c r="AB115" s="6">
        <f>Anthropometry[[#This Row],[Upper arm girth - R]]-(PI()*(Anthropometry[[#This Row],[Triceps]]/10))</f>
        <v>28.552212554774329</v>
      </c>
      <c r="AC115" s="6">
        <f>Anthropometry[[#This Row],[Mid-thighs]]-PI()*(Anthropometry[[#This Row],[Thigh]]/10)</f>
        <v>54.86637182013331</v>
      </c>
      <c r="AD115" s="6">
        <f>Anthropometry[[#This Row],[Mid-calf]]-PI()*(Anthropometry[[#This Row],[Calf]]/10)</f>
        <v>34.086283305884592</v>
      </c>
      <c r="AE115" s="6"/>
      <c r="AF115" s="6"/>
    </row>
    <row r="116" spans="1:32" ht="14.45">
      <c r="A116" t="s">
        <v>43</v>
      </c>
      <c r="B116" s="12">
        <v>44152</v>
      </c>
      <c r="C116" s="14">
        <v>0.3125</v>
      </c>
      <c r="D116" s="6">
        <v>176.2</v>
      </c>
      <c r="E116">
        <v>79.5</v>
      </c>
      <c r="F116" s="6">
        <f>(E116/((D116/100)*(D116/100)))</f>
        <v>25.606800650895892</v>
      </c>
      <c r="G116" s="13">
        <f>E116/100*(100-AA116)</f>
        <v>66.943992600000001</v>
      </c>
      <c r="H116" s="6">
        <f>E116/100*AA116</f>
        <v>12.5560074</v>
      </c>
      <c r="K116">
        <v>30</v>
      </c>
      <c r="M116">
        <v>107.6</v>
      </c>
      <c r="N116">
        <v>60</v>
      </c>
      <c r="O116" s="6">
        <f>(((4.68*N116)-(2.09*X116))-80.99)</f>
        <v>154.24799999999993</v>
      </c>
      <c r="P116">
        <v>47</v>
      </c>
      <c r="Q116">
        <v>39.9</v>
      </c>
      <c r="R116">
        <v>18</v>
      </c>
      <c r="S116">
        <v>9</v>
      </c>
      <c r="T116">
        <v>4.5999999999999996</v>
      </c>
      <c r="U116">
        <v>11.4</v>
      </c>
      <c r="V116">
        <v>6.2</v>
      </c>
      <c r="W116">
        <v>12</v>
      </c>
      <c r="X116">
        <v>21.8</v>
      </c>
      <c r="Y116">
        <v>11.9</v>
      </c>
      <c r="Z116">
        <f>SUM(R116:Y116)</f>
        <v>94.9</v>
      </c>
      <c r="AA116" s="6">
        <f>((0.1548*SUM(R116:S116,V116:Y116))+3.58)</f>
        <v>15.79372</v>
      </c>
      <c r="AB116" s="6">
        <f>Anthropometry[[#This Row],[Upper arm girth - R]]-(PI()*(Anthropometry[[#This Row],[Triceps]]/10))</f>
        <v>24.345133223538372</v>
      </c>
      <c r="AC116" s="6">
        <f>Anthropometry[[#This Row],[Mid-thighs]]-PI()*(Anthropometry[[#This Row],[Thigh]]/10)</f>
        <v>53.151328015174251</v>
      </c>
      <c r="AD116" s="6">
        <f>Anthropometry[[#This Row],[Mid-calf]]-PI()*(Anthropometry[[#This Row],[Calf]]/10)</f>
        <v>36.161504742228146</v>
      </c>
      <c r="AE116" s="6"/>
      <c r="AF116" s="6"/>
    </row>
    <row r="117" spans="1:32" ht="14.45">
      <c r="A117" t="s">
        <v>40</v>
      </c>
      <c r="B117" s="12">
        <v>42753</v>
      </c>
      <c r="C117" s="14">
        <v>0.33333333333333331</v>
      </c>
      <c r="D117" s="6">
        <v>182.7</v>
      </c>
      <c r="E117">
        <v>85.1</v>
      </c>
      <c r="G117" s="6">
        <v>78.410271980000005</v>
      </c>
      <c r="H117" s="6">
        <v>6.6897280199999996</v>
      </c>
      <c r="I117">
        <v>48.1</v>
      </c>
      <c r="J117">
        <v>94</v>
      </c>
      <c r="K117">
        <v>31.5</v>
      </c>
      <c r="M117">
        <v>101</v>
      </c>
      <c r="N117">
        <v>57.2</v>
      </c>
      <c r="O117" s="6">
        <v>175.00199999999995</v>
      </c>
      <c r="P117">
        <v>47</v>
      </c>
      <c r="Q117">
        <v>35.5</v>
      </c>
      <c r="R117">
        <v>6</v>
      </c>
      <c r="S117">
        <v>10.8</v>
      </c>
      <c r="T117">
        <v>2.6</v>
      </c>
      <c r="U117">
        <v>9.4</v>
      </c>
      <c r="V117">
        <v>6.2</v>
      </c>
      <c r="W117">
        <v>17</v>
      </c>
      <c r="X117">
        <v>5.6</v>
      </c>
      <c r="Y117">
        <v>4.5999999999999996</v>
      </c>
      <c r="Z117">
        <v>62.20000000000001</v>
      </c>
      <c r="AA117" s="6">
        <v>7.8610199999999999</v>
      </c>
      <c r="AB117" s="6">
        <f>Anthropometry[[#This Row],[Upper arm girth - R]]-(PI()*(Anthropometry[[#This Row],[Triceps]]/10))</f>
        <v>29.615044407846124</v>
      </c>
      <c r="AC117" s="6">
        <f>Anthropometry[[#This Row],[Mid-thighs]]-PI()*(Anthropometry[[#This Row],[Thigh]]/10)</f>
        <v>55.440708113989722</v>
      </c>
      <c r="AD117" s="6">
        <f>Anthropometry[[#This Row],[Mid-calf]]-PI()*(Anthropometry[[#This Row],[Calf]]/10)</f>
        <v>34.054867379348693</v>
      </c>
      <c r="AE117" s="6"/>
      <c r="AF117" s="6"/>
    </row>
    <row r="118" spans="1:32" ht="14.45">
      <c r="A118" t="s">
        <v>44</v>
      </c>
      <c r="B118" s="12">
        <v>42754</v>
      </c>
      <c r="C118" s="14">
        <v>0.40625</v>
      </c>
      <c r="D118">
        <v>171.6</v>
      </c>
      <c r="E118">
        <v>59.8</v>
      </c>
      <c r="F118" s="6">
        <v>20.3079748534294</v>
      </c>
      <c r="G118" s="6">
        <v>51.966080399999996</v>
      </c>
      <c r="H118" s="6">
        <v>7.8339195999999989</v>
      </c>
      <c r="I118">
        <v>43.7</v>
      </c>
      <c r="J118">
        <v>83</v>
      </c>
      <c r="K118">
        <v>26</v>
      </c>
      <c r="M118">
        <v>93</v>
      </c>
      <c r="N118">
        <v>50</v>
      </c>
      <c r="O118" s="6">
        <v>119.361</v>
      </c>
      <c r="P118">
        <v>41</v>
      </c>
      <c r="Q118">
        <v>33.5</v>
      </c>
      <c r="R118">
        <v>11.8</v>
      </c>
      <c r="S118">
        <v>7.2</v>
      </c>
      <c r="T118">
        <v>6.2</v>
      </c>
      <c r="U118">
        <v>8</v>
      </c>
      <c r="V118">
        <v>5.8</v>
      </c>
      <c r="W118">
        <v>10.4</v>
      </c>
      <c r="X118">
        <v>16.100000000000001</v>
      </c>
      <c r="Y118">
        <v>10.199999999999999</v>
      </c>
      <c r="Z118">
        <v>75.7</v>
      </c>
      <c r="AA118" s="6">
        <v>13.100199999999999</v>
      </c>
      <c r="AB118" s="6">
        <f>Anthropometry[[#This Row],[Upper arm girth - R]]-(PI()*(Anthropometry[[#This Row],[Triceps]]/10))</f>
        <v>22.292920668764044</v>
      </c>
      <c r="AC118" s="6">
        <f>Anthropometry[[#This Row],[Mid-thighs]]-PI()*(Anthropometry[[#This Row],[Thigh]]/10)</f>
        <v>44.942035827720431</v>
      </c>
      <c r="AD118" s="6">
        <f>Anthropometry[[#This Row],[Mid-calf]]-PI()*(Anthropometry[[#This Row],[Calf]]/10)</f>
        <v>30.295575493338411</v>
      </c>
      <c r="AE118" s="6"/>
      <c r="AF118" s="6"/>
    </row>
    <row r="119" spans="1:32" ht="14.45">
      <c r="A119" t="s">
        <v>41</v>
      </c>
      <c r="B119" s="12">
        <v>42754</v>
      </c>
      <c r="C119" s="14">
        <v>0.35416666666666669</v>
      </c>
      <c r="D119">
        <v>177.8</v>
      </c>
      <c r="E119">
        <v>85.2</v>
      </c>
      <c r="G119" s="6">
        <v>79.397862959999998</v>
      </c>
      <c r="H119" s="6">
        <v>5.8021370399999999</v>
      </c>
      <c r="I119">
        <v>51.4</v>
      </c>
      <c r="J119">
        <v>99</v>
      </c>
      <c r="K119">
        <v>31.3</v>
      </c>
      <c r="M119">
        <v>98.7</v>
      </c>
      <c r="N119">
        <v>58.7</v>
      </c>
      <c r="O119" s="6">
        <v>182.858</v>
      </c>
      <c r="P119">
        <v>45.2</v>
      </c>
      <c r="Q119">
        <v>37</v>
      </c>
      <c r="R119">
        <v>7.2</v>
      </c>
      <c r="S119">
        <v>8</v>
      </c>
      <c r="T119">
        <v>3.2</v>
      </c>
      <c r="U119">
        <v>8.5</v>
      </c>
      <c r="V119">
        <v>5.5</v>
      </c>
      <c r="W119">
        <v>9.5</v>
      </c>
      <c r="X119">
        <v>5.2</v>
      </c>
      <c r="Y119">
        <v>4.8</v>
      </c>
      <c r="Z119">
        <v>51.9</v>
      </c>
      <c r="AA119" s="6">
        <v>6.8100199999999997</v>
      </c>
      <c r="AB119" s="6">
        <f>Anthropometry[[#This Row],[Upper arm girth - R]]-(PI()*(Anthropometry[[#This Row],[Triceps]]/10))</f>
        <v>29.038053289415348</v>
      </c>
      <c r="AC119" s="6">
        <f>Anthropometry[[#This Row],[Mid-thighs]]-PI()*(Anthropometry[[#This Row],[Thigh]]/10)</f>
        <v>57.066371820133313</v>
      </c>
      <c r="AD119" s="6">
        <f>Anthropometry[[#This Row],[Mid-calf]]-PI()*(Anthropometry[[#This Row],[Calf]]/10)</f>
        <v>35.492035526276901</v>
      </c>
      <c r="AE119" s="6"/>
      <c r="AF119" s="6"/>
    </row>
    <row r="120" spans="1:32" ht="14.45">
      <c r="A120" t="s">
        <v>43</v>
      </c>
      <c r="B120" s="12">
        <v>44211</v>
      </c>
      <c r="C120" s="14">
        <v>0.41666666666666669</v>
      </c>
      <c r="D120">
        <v>176.1</v>
      </c>
      <c r="E120">
        <v>78.900000000000006</v>
      </c>
      <c r="F120" s="6">
        <f>(E120/((D120/100)*(D120/100)))</f>
        <v>25.442412598540983</v>
      </c>
      <c r="G120" s="13">
        <f>E120/100*(100-AA120)</f>
        <v>65.815855200000001</v>
      </c>
      <c r="H120" s="6">
        <f>E120/100*AA120</f>
        <v>13.084144800000002</v>
      </c>
      <c r="K120">
        <v>29.5</v>
      </c>
      <c r="M120">
        <v>105</v>
      </c>
      <c r="N120">
        <v>58</v>
      </c>
      <c r="O120" s="6">
        <f>(((4.68*N120)-(2.09*X120))-80.99)</f>
        <v>141.96199999999999</v>
      </c>
      <c r="P120">
        <v>46.2</v>
      </c>
      <c r="Q120">
        <v>40</v>
      </c>
      <c r="R120">
        <v>18.8</v>
      </c>
      <c r="S120">
        <v>9.1999999999999993</v>
      </c>
      <c r="T120">
        <v>4.5999999999999996</v>
      </c>
      <c r="U120">
        <v>12.8</v>
      </c>
      <c r="V120">
        <v>6.2</v>
      </c>
      <c r="W120">
        <v>13.2</v>
      </c>
      <c r="X120">
        <v>23.2</v>
      </c>
      <c r="Y120">
        <v>13.4</v>
      </c>
      <c r="Z120">
        <f>SUM(R120:Y120)</f>
        <v>101.40000000000002</v>
      </c>
      <c r="AA120" s="6">
        <f>((0.1548*SUM(R120:S120,V120:Y120))+3.58)</f>
        <v>16.583200000000001</v>
      </c>
      <c r="AB120" s="6">
        <f>Anthropometry[[#This Row],[Upper arm girth - R]]-(PI()*(Anthropometry[[#This Row],[Triceps]]/10))</f>
        <v>23.593805811251187</v>
      </c>
      <c r="AC120" s="6">
        <f>Anthropometry[[#This Row],[Mid-thighs]]-PI()*(Anthropometry[[#This Row],[Thigh]]/10)</f>
        <v>50.711505043671679</v>
      </c>
      <c r="AD120" s="6">
        <f>Anthropometry[[#This Row],[Mid-calf]]-PI()*(Anthropometry[[#This Row],[Calf]]/10)</f>
        <v>35.790265844189676</v>
      </c>
      <c r="AE120" s="6"/>
      <c r="AF120" s="6"/>
    </row>
    <row r="121" spans="1:32" ht="14.45">
      <c r="A121" t="s">
        <v>39</v>
      </c>
      <c r="B121" s="12">
        <v>42755</v>
      </c>
      <c r="C121" s="14">
        <v>0.35416666666666669</v>
      </c>
      <c r="D121">
        <v>180.8</v>
      </c>
      <c r="E121">
        <v>85.5</v>
      </c>
      <c r="G121" s="6">
        <v>78.913618649999989</v>
      </c>
      <c r="H121" s="6">
        <v>6.5863813499999999</v>
      </c>
      <c r="I121">
        <v>47.8</v>
      </c>
      <c r="J121">
        <v>93.9</v>
      </c>
      <c r="K121">
        <v>31</v>
      </c>
      <c r="M121">
        <v>102</v>
      </c>
      <c r="N121">
        <v>59</v>
      </c>
      <c r="O121" s="6">
        <v>177.57400000000001</v>
      </c>
      <c r="P121">
        <v>49</v>
      </c>
      <c r="Q121">
        <v>40.299999999999997</v>
      </c>
      <c r="R121">
        <v>7.2</v>
      </c>
      <c r="S121">
        <v>7.8</v>
      </c>
      <c r="T121">
        <v>3.6</v>
      </c>
      <c r="U121">
        <v>12.8</v>
      </c>
      <c r="V121">
        <v>6.5</v>
      </c>
      <c r="W121">
        <v>14</v>
      </c>
      <c r="X121">
        <v>8.4</v>
      </c>
      <c r="Y121">
        <v>4.8</v>
      </c>
      <c r="Z121" s="6">
        <v>65.100000000000009</v>
      </c>
      <c r="AA121" s="6">
        <v>7.7033699999999996</v>
      </c>
      <c r="AB121" s="6">
        <f>Anthropometry[[#This Row],[Upper arm girth - R]]-(PI()*(Anthropometry[[#This Row],[Triceps]]/10))</f>
        <v>28.738053289415348</v>
      </c>
      <c r="AC121" s="6">
        <f>Anthropometry[[#This Row],[Mid-thighs]]-PI()*(Anthropometry[[#This Row],[Thigh]]/10)</f>
        <v>56.361062170984574</v>
      </c>
      <c r="AD121" s="6">
        <f>Anthropometry[[#This Row],[Mid-calf]]-PI()*(Anthropometry[[#This Row],[Calf]]/10)</f>
        <v>38.792035526276898</v>
      </c>
      <c r="AE121" s="6"/>
      <c r="AF121" s="6"/>
    </row>
    <row r="122" spans="1:32" ht="14.45">
      <c r="A122" t="s">
        <v>42</v>
      </c>
      <c r="B122" s="12">
        <v>42755</v>
      </c>
      <c r="C122" s="14">
        <v>0.36805555555555558</v>
      </c>
      <c r="D122">
        <v>167.2</v>
      </c>
      <c r="E122">
        <v>66.7</v>
      </c>
      <c r="F122" s="6">
        <v>19.94617224880383</v>
      </c>
      <c r="G122" s="6">
        <v>58.261596240000003</v>
      </c>
      <c r="H122" s="6">
        <v>8.4384037600000017</v>
      </c>
      <c r="I122">
        <v>43.8</v>
      </c>
      <c r="J122">
        <v>82.4</v>
      </c>
      <c r="K122">
        <v>27</v>
      </c>
      <c r="M122">
        <v>97</v>
      </c>
      <c r="N122">
        <v>54.5</v>
      </c>
      <c r="O122" s="6">
        <v>148.572</v>
      </c>
      <c r="P122">
        <v>46</v>
      </c>
      <c r="Q122">
        <v>37</v>
      </c>
      <c r="R122">
        <v>9</v>
      </c>
      <c r="S122">
        <v>8</v>
      </c>
      <c r="T122">
        <v>3.7</v>
      </c>
      <c r="U122">
        <v>8.5</v>
      </c>
      <c r="V122">
        <v>6.6</v>
      </c>
      <c r="W122">
        <v>10.8</v>
      </c>
      <c r="X122">
        <v>12.2</v>
      </c>
      <c r="Y122">
        <v>12</v>
      </c>
      <c r="Z122">
        <v>70.8</v>
      </c>
      <c r="AA122" s="6">
        <v>12.651280000000002</v>
      </c>
      <c r="AB122" s="6">
        <f>Anthropometry[[#This Row],[Upper arm girth - R]]-(PI()*(Anthropometry[[#This Row],[Triceps]]/10))</f>
        <v>24.172566611769184</v>
      </c>
      <c r="AC122" s="6">
        <f>Anthropometry[[#This Row],[Mid-thighs]]-PI()*(Anthropometry[[#This Row],[Thigh]]/10)</f>
        <v>50.667256962620449</v>
      </c>
      <c r="AD122" s="6">
        <f>Anthropometry[[#This Row],[Mid-calf]]-PI()*(Anthropometry[[#This Row],[Calf]]/10)</f>
        <v>33.230088815692248</v>
      </c>
      <c r="AE122" s="6"/>
      <c r="AF122" s="6"/>
    </row>
    <row r="123" spans="1:32" ht="14.45">
      <c r="A123" t="s">
        <v>44</v>
      </c>
      <c r="B123" s="12">
        <v>42797</v>
      </c>
      <c r="C123" s="14">
        <v>0.40277777777777773</v>
      </c>
      <c r="D123">
        <v>171.6</v>
      </c>
      <c r="E123">
        <v>60.3</v>
      </c>
      <c r="F123" s="6">
        <v>20.477773974277472</v>
      </c>
      <c r="G123" s="6">
        <v>52.036536240000004</v>
      </c>
      <c r="H123" s="6">
        <v>8.2634637599999987</v>
      </c>
      <c r="I123">
        <v>43.4</v>
      </c>
      <c r="J123">
        <v>82.5</v>
      </c>
      <c r="K123">
        <v>25.7</v>
      </c>
      <c r="M123">
        <v>95.5</v>
      </c>
      <c r="N123">
        <v>49.5</v>
      </c>
      <c r="O123" s="6">
        <v>115.55800000000001</v>
      </c>
      <c r="P123">
        <v>41</v>
      </c>
      <c r="Q123">
        <v>34</v>
      </c>
      <c r="R123">
        <v>11.4</v>
      </c>
      <c r="S123">
        <v>7.4</v>
      </c>
      <c r="T123">
        <v>4.5</v>
      </c>
      <c r="U123">
        <v>9.8000000000000007</v>
      </c>
      <c r="V123">
        <v>7.3</v>
      </c>
      <c r="W123">
        <v>11.7</v>
      </c>
      <c r="X123">
        <v>16.8</v>
      </c>
      <c r="Y123">
        <v>10.8</v>
      </c>
      <c r="Z123">
        <v>79.699999999999989</v>
      </c>
      <c r="AA123" s="6">
        <v>13.703919999999998</v>
      </c>
      <c r="AB123" s="6">
        <f>Anthropometry[[#This Row],[Upper arm girth - R]]-(PI()*(Anthropometry[[#This Row],[Triceps]]/10))</f>
        <v>22.118584374907634</v>
      </c>
      <c r="AC123" s="6">
        <f>Anthropometry[[#This Row],[Mid-thighs]]-PI()*(Anthropometry[[#This Row],[Thigh]]/10)</f>
        <v>44.222124341969149</v>
      </c>
      <c r="AD123" s="6">
        <f>Anthropometry[[#This Row],[Mid-calf]]-PI()*(Anthropometry[[#This Row],[Calf]]/10)</f>
        <v>30.607079934123021</v>
      </c>
      <c r="AE123" s="6"/>
      <c r="AF123" s="6"/>
    </row>
    <row r="124" spans="1:32" ht="14.45">
      <c r="A124" t="s">
        <v>39</v>
      </c>
      <c r="B124" s="12">
        <v>42797</v>
      </c>
      <c r="C124" s="14">
        <v>8.52</v>
      </c>
      <c r="D124">
        <v>180.8</v>
      </c>
      <c r="E124">
        <v>84.4</v>
      </c>
      <c r="G124" s="6">
        <v>78.510416080000013</v>
      </c>
      <c r="H124" s="6">
        <v>5.8895839200000006</v>
      </c>
      <c r="I124">
        <v>48</v>
      </c>
      <c r="J124">
        <v>94.6</v>
      </c>
      <c r="K124">
        <v>30.8</v>
      </c>
      <c r="M124">
        <v>99.2</v>
      </c>
      <c r="N124">
        <v>59</v>
      </c>
      <c r="O124" s="6">
        <v>180.709</v>
      </c>
      <c r="P124">
        <v>48.5</v>
      </c>
      <c r="Q124">
        <v>40</v>
      </c>
      <c r="R124">
        <v>6.1</v>
      </c>
      <c r="S124">
        <v>7.4</v>
      </c>
      <c r="T124">
        <v>3.4</v>
      </c>
      <c r="U124">
        <v>9</v>
      </c>
      <c r="V124">
        <v>5.4</v>
      </c>
      <c r="W124">
        <v>11.2</v>
      </c>
      <c r="X124">
        <v>6.9</v>
      </c>
      <c r="Y124">
        <v>4.8</v>
      </c>
      <c r="Z124" s="6">
        <v>54.199999999999996</v>
      </c>
      <c r="AA124" s="6">
        <v>6.97818</v>
      </c>
      <c r="AB124" s="6">
        <f>Anthropometry[[#This Row],[Upper arm girth - R]]-(PI()*(Anthropometry[[#This Row],[Triceps]]/10))</f>
        <v>28.883628481310225</v>
      </c>
      <c r="AC124" s="6">
        <f>Anthropometry[[#This Row],[Mid-thighs]]-PI()*(Anthropometry[[#This Row],[Thigh]]/10)</f>
        <v>56.832301069023046</v>
      </c>
      <c r="AD124" s="6">
        <f>Anthropometry[[#This Row],[Mid-calf]]-PI()*(Anthropometry[[#This Row],[Calf]]/10)</f>
        <v>38.492035526276901</v>
      </c>
      <c r="AE124" s="6"/>
      <c r="AF124" s="6"/>
    </row>
    <row r="125" spans="1:32" ht="14.45">
      <c r="A125" t="s">
        <v>41</v>
      </c>
      <c r="B125" s="12">
        <v>42797</v>
      </c>
      <c r="C125" s="14">
        <v>0.41666666666666669</v>
      </c>
      <c r="D125">
        <v>177.8</v>
      </c>
      <c r="E125">
        <v>84.7</v>
      </c>
      <c r="G125" s="6">
        <v>78.700461840000003</v>
      </c>
      <c r="H125" s="6">
        <v>5.9995381599999993</v>
      </c>
      <c r="I125">
        <v>50.9</v>
      </c>
      <c r="J125">
        <v>100.5</v>
      </c>
      <c r="K125">
        <v>31</v>
      </c>
      <c r="M125">
        <v>99</v>
      </c>
      <c r="N125">
        <v>59</v>
      </c>
      <c r="O125" s="6">
        <v>183.00799999999998</v>
      </c>
      <c r="P125">
        <v>47</v>
      </c>
      <c r="Q125">
        <v>37.5</v>
      </c>
      <c r="R125">
        <v>7.2</v>
      </c>
      <c r="S125">
        <v>8.1999999999999993</v>
      </c>
      <c r="T125">
        <v>3</v>
      </c>
      <c r="U125">
        <v>9.5</v>
      </c>
      <c r="V125">
        <v>5.8</v>
      </c>
      <c r="W125">
        <v>10.5</v>
      </c>
      <c r="X125">
        <v>5.8</v>
      </c>
      <c r="Y125">
        <v>5.3</v>
      </c>
      <c r="Z125">
        <v>55.29999999999999</v>
      </c>
      <c r="AA125" s="6">
        <v>7.0832799999999994</v>
      </c>
      <c r="AB125" s="6">
        <f>Anthropometry[[#This Row],[Upper arm girth - R]]-(PI()*(Anthropometry[[#This Row],[Triceps]]/10))</f>
        <v>28.738053289415348</v>
      </c>
      <c r="AC125" s="6">
        <f>Anthropometry[[#This Row],[Mid-thighs]]-PI()*(Anthropometry[[#This Row],[Thigh]]/10)</f>
        <v>57.17787626091792</v>
      </c>
      <c r="AD125" s="6">
        <f>Anthropometry[[#This Row],[Mid-calf]]-PI()*(Anthropometry[[#This Row],[Calf]]/10)</f>
        <v>35.83495589359741</v>
      </c>
      <c r="AE125" s="6"/>
      <c r="AF125" s="6"/>
    </row>
    <row r="126" spans="1:32" ht="14.45">
      <c r="A126" t="s">
        <v>42</v>
      </c>
      <c r="B126" s="12">
        <v>42797</v>
      </c>
      <c r="C126" s="14">
        <v>0.3888888888888889</v>
      </c>
      <c r="D126">
        <v>167.2</v>
      </c>
      <c r="E126">
        <v>67.400000000000006</v>
      </c>
      <c r="F126" s="6">
        <v>20.155502392344498</v>
      </c>
      <c r="G126" s="6">
        <v>59.519915520000005</v>
      </c>
      <c r="H126" s="6">
        <v>7.8800844799999998</v>
      </c>
      <c r="I126">
        <v>43.9</v>
      </c>
      <c r="J126">
        <v>83.5</v>
      </c>
      <c r="K126">
        <v>27.5</v>
      </c>
      <c r="M126">
        <v>96.5</v>
      </c>
      <c r="N126">
        <v>54</v>
      </c>
      <c r="O126" s="6">
        <v>148.73999999999995</v>
      </c>
      <c r="P126">
        <v>44</v>
      </c>
      <c r="Q126">
        <v>37.5</v>
      </c>
      <c r="R126">
        <v>9.1999999999999993</v>
      </c>
      <c r="S126">
        <v>7.2</v>
      </c>
      <c r="T126">
        <v>3.6</v>
      </c>
      <c r="U126">
        <v>8.9</v>
      </c>
      <c r="V126">
        <v>6.5</v>
      </c>
      <c r="W126">
        <v>9.1</v>
      </c>
      <c r="X126">
        <v>11</v>
      </c>
      <c r="Y126">
        <v>9.4</v>
      </c>
      <c r="Z126">
        <v>64.900000000000006</v>
      </c>
      <c r="AA126" s="6">
        <v>11.691519999999999</v>
      </c>
      <c r="AB126" s="6">
        <f>Anthropometry[[#This Row],[Upper arm girth - R]]-(PI()*(Anthropometry[[#This Row],[Triceps]]/10))</f>
        <v>24.609734758697392</v>
      </c>
      <c r="AC126" s="6">
        <f>Anthropometry[[#This Row],[Mid-thighs]]-PI()*(Anthropometry[[#This Row],[Thigh]]/10)</f>
        <v>50.544248081051229</v>
      </c>
      <c r="AD126" s="6">
        <f>Anthropometry[[#This Row],[Mid-calf]]-PI()*(Anthropometry[[#This Row],[Calf]]/10)</f>
        <v>34.546902905625593</v>
      </c>
      <c r="AE126" s="6"/>
      <c r="AF126" s="6"/>
    </row>
    <row r="127" spans="1:32" ht="14.45">
      <c r="A127" t="s">
        <v>40</v>
      </c>
      <c r="B127" s="12">
        <v>42797</v>
      </c>
      <c r="C127" s="14">
        <v>0.37986111111111115</v>
      </c>
      <c r="D127" s="6">
        <v>182.7</v>
      </c>
      <c r="E127">
        <v>83.4</v>
      </c>
      <c r="G127" s="6">
        <v>77.106869520000004</v>
      </c>
      <c r="H127" s="6">
        <v>6.2931304800000003</v>
      </c>
      <c r="I127">
        <v>48.2</v>
      </c>
      <c r="J127">
        <v>93.5</v>
      </c>
      <c r="K127">
        <v>31</v>
      </c>
      <c r="M127">
        <v>100.5</v>
      </c>
      <c r="N127">
        <v>57.2</v>
      </c>
      <c r="O127" s="6">
        <v>174.79299999999995</v>
      </c>
      <c r="P127">
        <v>46.5</v>
      </c>
      <c r="Q127">
        <v>35</v>
      </c>
      <c r="R127">
        <v>6.3</v>
      </c>
      <c r="S127">
        <v>10.4</v>
      </c>
      <c r="T127">
        <v>2.6</v>
      </c>
      <c r="U127">
        <v>9</v>
      </c>
      <c r="V127">
        <v>5.6</v>
      </c>
      <c r="W127">
        <v>14.6</v>
      </c>
      <c r="X127">
        <v>5.7</v>
      </c>
      <c r="Y127">
        <v>4.5999999999999996</v>
      </c>
      <c r="Z127">
        <v>58.800000000000004</v>
      </c>
      <c r="AA127" s="6">
        <v>7.5457200000000002</v>
      </c>
      <c r="AB127" s="6">
        <f>Anthropometry[[#This Row],[Upper arm girth - R]]-(PI()*(Anthropometry[[#This Row],[Triceps]]/10))</f>
        <v>29.020796628238429</v>
      </c>
      <c r="AC127" s="6">
        <f>Anthropometry[[#This Row],[Mid-thighs]]-PI()*(Anthropometry[[#This Row],[Thigh]]/10)</f>
        <v>55.409292187453822</v>
      </c>
      <c r="AD127" s="6">
        <f>Anthropometry[[#This Row],[Mid-calf]]-PI()*(Anthropometry[[#This Row],[Calf]]/10)</f>
        <v>33.554867379348693</v>
      </c>
      <c r="AE127" s="6"/>
      <c r="AF127" s="6"/>
    </row>
    <row r="128" spans="1:32" ht="14.45">
      <c r="A128" t="s">
        <v>43</v>
      </c>
      <c r="B128" s="12">
        <v>44281</v>
      </c>
      <c r="C128" s="14">
        <v>0.41666666666666669</v>
      </c>
      <c r="D128">
        <v>176</v>
      </c>
      <c r="E128">
        <v>81.5</v>
      </c>
      <c r="F128" s="6">
        <f>(E128/((D128/100)*(D128/100)))</f>
        <v>26.310692148760332</v>
      </c>
      <c r="G128" s="13">
        <f>E128/100*(100-AA128)</f>
        <v>68.388410399999998</v>
      </c>
      <c r="H128" s="6">
        <f>E128/100*AA128</f>
        <v>13.111589599999999</v>
      </c>
      <c r="K128">
        <v>30.5</v>
      </c>
      <c r="M128">
        <v>108.5</v>
      </c>
      <c r="N128">
        <v>59.5</v>
      </c>
      <c r="O128" s="6">
        <f>(((4.68*N128)-(2.09*X128))-80.99)</f>
        <v>151.072</v>
      </c>
      <c r="P128">
        <v>47.6</v>
      </c>
      <c r="Q128">
        <v>40.200000000000003</v>
      </c>
      <c r="R128">
        <v>17</v>
      </c>
      <c r="S128">
        <v>9</v>
      </c>
      <c r="T128">
        <v>4.5999999999999996</v>
      </c>
      <c r="U128">
        <v>11.2</v>
      </c>
      <c r="V128">
        <v>6.1</v>
      </c>
      <c r="W128">
        <v>13.2</v>
      </c>
      <c r="X128">
        <v>22.2</v>
      </c>
      <c r="Y128">
        <v>13.3</v>
      </c>
      <c r="Z128">
        <f>SUM(R128:Y128)</f>
        <v>96.6</v>
      </c>
      <c r="AA128" s="6">
        <f>((0.1548*SUM(R128:S128,V128:Y128))+3.58)</f>
        <v>16.08784</v>
      </c>
      <c r="AB128" s="6">
        <f>Anthropometry[[#This Row],[Upper arm girth - R]]-(PI()*(Anthropometry[[#This Row],[Triceps]]/10))</f>
        <v>25.15929248889735</v>
      </c>
      <c r="AC128" s="6">
        <f>Anthropometry[[#This Row],[Mid-thighs]]-PI()*(Anthropometry[[#This Row],[Thigh]]/10)</f>
        <v>52.52566430903066</v>
      </c>
      <c r="AD128" s="6">
        <f>Anthropometry[[#This Row],[Mid-calf]]-PI()*(Anthropometry[[#This Row],[Calf]]/10)</f>
        <v>36.021681770725579</v>
      </c>
      <c r="AE128" s="6"/>
      <c r="AF128" s="6"/>
    </row>
    <row r="129" spans="1:32" ht="14.45">
      <c r="A129" t="s">
        <v>41</v>
      </c>
      <c r="B129" s="12">
        <v>42843</v>
      </c>
      <c r="C129" s="14">
        <v>0.61458333333333337</v>
      </c>
      <c r="D129">
        <v>177.8</v>
      </c>
      <c r="E129">
        <v>87.3</v>
      </c>
      <c r="G129" s="6">
        <v>81.06124518</v>
      </c>
      <c r="H129" s="6">
        <v>6.2387548199999996</v>
      </c>
      <c r="I129">
        <v>51.6</v>
      </c>
      <c r="J129">
        <v>99.5</v>
      </c>
      <c r="K129">
        <v>32</v>
      </c>
      <c r="M129">
        <v>100.5</v>
      </c>
      <c r="N129">
        <v>59</v>
      </c>
      <c r="O129" s="6">
        <v>183.63499999999999</v>
      </c>
      <c r="P129">
        <v>46</v>
      </c>
      <c r="Q129">
        <v>37.5</v>
      </c>
      <c r="R129">
        <v>7.6</v>
      </c>
      <c r="S129">
        <v>8</v>
      </c>
      <c r="T129">
        <v>3.2</v>
      </c>
      <c r="U129">
        <v>10.8</v>
      </c>
      <c r="V129">
        <v>6.3</v>
      </c>
      <c r="W129">
        <v>10.9</v>
      </c>
      <c r="X129">
        <v>5.5</v>
      </c>
      <c r="Y129">
        <v>5.0999999999999996</v>
      </c>
      <c r="Z129">
        <v>57.4</v>
      </c>
      <c r="AA129" s="6">
        <v>7.1463399999999995</v>
      </c>
      <c r="AB129" s="6">
        <f>Anthropometry[[#This Row],[Upper arm girth - R]]-(PI()*(Anthropometry[[#This Row],[Triceps]]/10))</f>
        <v>29.612389583271757</v>
      </c>
      <c r="AC129" s="6">
        <f>Anthropometry[[#This Row],[Mid-thighs]]-PI()*(Anthropometry[[#This Row],[Thigh]]/10)</f>
        <v>57.272124040525611</v>
      </c>
      <c r="AD129" s="6">
        <f>Anthropometry[[#This Row],[Mid-calf]]-PI()*(Anthropometry[[#This Row],[Calf]]/10)</f>
        <v>35.897787746669202</v>
      </c>
      <c r="AE129" s="6"/>
      <c r="AF129" s="6"/>
    </row>
    <row r="130" spans="1:32" ht="14.45">
      <c r="A130" t="s">
        <v>43</v>
      </c>
      <c r="B130" s="12">
        <v>44347</v>
      </c>
      <c r="C130" s="14">
        <v>0.375</v>
      </c>
      <c r="D130" s="6">
        <v>176.8</v>
      </c>
      <c r="E130">
        <v>81.5</v>
      </c>
      <c r="F130" s="6">
        <f>(E130/((D130/100)*(D130/100)))</f>
        <v>26.073125038389875</v>
      </c>
      <c r="G130" s="13">
        <f>E130/100*(100-AA130)</f>
        <v>68.628118200000003</v>
      </c>
      <c r="H130" s="6">
        <f>E130/100*AA130</f>
        <v>12.871881799999999</v>
      </c>
      <c r="K130">
        <v>31.5</v>
      </c>
      <c r="M130">
        <v>108</v>
      </c>
      <c r="N130">
        <v>61.1</v>
      </c>
      <c r="O130" s="6">
        <f>(((4.68*N130)-(2.09*X130))-80.99)</f>
        <v>158.56</v>
      </c>
      <c r="P130">
        <v>49.1</v>
      </c>
      <c r="Q130">
        <v>40.5</v>
      </c>
      <c r="R130">
        <v>17.399999999999999</v>
      </c>
      <c r="S130">
        <v>10</v>
      </c>
      <c r="T130">
        <v>4.5999999999999996</v>
      </c>
      <c r="U130">
        <v>10.6</v>
      </c>
      <c r="V130">
        <v>6.1</v>
      </c>
      <c r="W130">
        <v>10.4</v>
      </c>
      <c r="X130">
        <v>22.2</v>
      </c>
      <c r="Y130">
        <v>12.8</v>
      </c>
      <c r="Z130">
        <f>SUM(R130:Y130)</f>
        <v>94.1</v>
      </c>
      <c r="AA130" s="6">
        <f>((0.1548*SUM(R130:S130,V130:Y130))+3.58)</f>
        <v>15.793719999999999</v>
      </c>
      <c r="AB130" s="6">
        <f>Anthropometry[[#This Row],[Upper arm girth - R]]-(PI()*(Anthropometry[[#This Row],[Triceps]]/10))</f>
        <v>26.033628782753759</v>
      </c>
      <c r="AC130" s="6">
        <f>Anthropometry[[#This Row],[Mid-thighs]]-PI()*(Anthropometry[[#This Row],[Thigh]]/10)</f>
        <v>54.125664309030661</v>
      </c>
      <c r="AD130" s="6">
        <f>Anthropometry[[#This Row],[Mid-calf]]-PI()*(Anthropometry[[#This Row],[Calf]]/10)</f>
        <v>36.478761403405066</v>
      </c>
      <c r="AE130" s="6"/>
      <c r="AF130" s="6"/>
    </row>
    <row r="131" spans="1:32" ht="14.45">
      <c r="A131" t="s">
        <v>43</v>
      </c>
      <c r="B131" s="5">
        <v>44545</v>
      </c>
      <c r="C131" s="14">
        <v>0.44791666666666669</v>
      </c>
      <c r="D131">
        <v>177.4</v>
      </c>
      <c r="E131">
        <v>80.2</v>
      </c>
      <c r="F131" s="6">
        <f>(E131/((D131/100)*(D131/100)))</f>
        <v>25.48397305943676</v>
      </c>
      <c r="G131" s="13">
        <f>E131/100*(100-AA131)</f>
        <v>67.707246000000012</v>
      </c>
      <c r="H131" s="6">
        <f>E131/100*AA131</f>
        <v>12.492754000000001</v>
      </c>
      <c r="K131">
        <v>30</v>
      </c>
      <c r="M131">
        <v>107.5</v>
      </c>
      <c r="N131">
        <v>60</v>
      </c>
      <c r="O131" s="6">
        <f>(((4.68*N131)-(2.09*X131))-80.99)</f>
        <v>154.24799999999993</v>
      </c>
      <c r="P131">
        <v>46.8</v>
      </c>
      <c r="Q131">
        <v>40.299999999999997</v>
      </c>
      <c r="R131">
        <v>17.5</v>
      </c>
      <c r="S131">
        <v>9.4</v>
      </c>
      <c r="T131">
        <v>4.4000000000000004</v>
      </c>
      <c r="U131">
        <v>10.6</v>
      </c>
      <c r="V131">
        <v>6</v>
      </c>
      <c r="W131">
        <v>11</v>
      </c>
      <c r="X131">
        <v>21.8</v>
      </c>
      <c r="Y131">
        <v>11.8</v>
      </c>
      <c r="Z131">
        <f>SUM(R131:Y131)</f>
        <v>92.5</v>
      </c>
      <c r="AA131" s="6">
        <f>((0.1548*SUM(R131:S131,V131:Y131))+3.58)</f>
        <v>15.577</v>
      </c>
      <c r="AB131" s="6">
        <f>Anthropometry[[#This Row],[Upper arm girth - R]]-(PI()*(Anthropometry[[#This Row],[Triceps]]/10))</f>
        <v>24.502212856217863</v>
      </c>
      <c r="AC131" s="6">
        <f>Anthropometry[[#This Row],[Mid-thighs]]-PI()*(Anthropometry[[#This Row],[Thigh]]/10)</f>
        <v>53.151328015174251</v>
      </c>
      <c r="AD131" s="6">
        <f>Anthropometry[[#This Row],[Mid-calf]]-PI()*(Anthropometry[[#This Row],[Calf]]/10)</f>
        <v>36.592920668764037</v>
      </c>
      <c r="AE131" s="6"/>
      <c r="AF131" s="6"/>
    </row>
    <row r="132" spans="1:32" ht="14.45">
      <c r="A132" t="s">
        <v>45</v>
      </c>
      <c r="B132" s="12">
        <v>42884</v>
      </c>
      <c r="C132" s="14">
        <v>0.625</v>
      </c>
      <c r="D132" s="6">
        <v>174.5</v>
      </c>
      <c r="E132">
        <v>77.900000000000006</v>
      </c>
      <c r="G132" s="6">
        <f>E132/100*(100-AA132)</f>
        <v>71.768078129999992</v>
      </c>
      <c r="H132" s="6">
        <f>E132/100*AA132</f>
        <v>6.1319218700000002</v>
      </c>
      <c r="I132">
        <v>46.8</v>
      </c>
      <c r="J132">
        <v>92.5</v>
      </c>
      <c r="K132">
        <v>28.5</v>
      </c>
      <c r="M132">
        <v>96.8</v>
      </c>
      <c r="N132">
        <v>56.8</v>
      </c>
      <c r="O132" s="6">
        <f>(((4.68*N132)-(2.09*X132))-80.99)</f>
        <v>161.00799999999998</v>
      </c>
      <c r="P132">
        <v>45.8</v>
      </c>
      <c r="Q132">
        <v>38.5</v>
      </c>
      <c r="R132">
        <v>6.4</v>
      </c>
      <c r="S132">
        <v>9.8000000000000007</v>
      </c>
      <c r="T132">
        <v>3.4</v>
      </c>
      <c r="U132">
        <v>9.8000000000000007</v>
      </c>
      <c r="V132">
        <v>5.3</v>
      </c>
      <c r="W132">
        <v>13.5</v>
      </c>
      <c r="X132">
        <v>11.4</v>
      </c>
      <c r="Y132">
        <v>3.9</v>
      </c>
      <c r="Z132">
        <f>SUM(R132:Y132)</f>
        <v>63.5</v>
      </c>
      <c r="AA132" s="6">
        <f>((0.1051*SUM(R132:S132,V132:Y132))+2.585)</f>
        <v>7.8715299999999999</v>
      </c>
      <c r="AB132" s="6">
        <f>Anthropometry[[#This Row],[Upper arm girth - R]]-(PI()*(Anthropometry[[#This Row],[Triceps]]/10))</f>
        <v>26.489380701702533</v>
      </c>
      <c r="AC132" s="6">
        <f>Anthropometry[[#This Row],[Mid-thighs]]-PI()*(Anthropometry[[#This Row],[Thigh]]/10)</f>
        <v>53.218584374907635</v>
      </c>
      <c r="AD132" s="6">
        <f>Anthropometry[[#This Row],[Mid-calf]]-PI()*(Anthropometry[[#This Row],[Calf]]/10)</f>
        <v>37.274778865099982</v>
      </c>
      <c r="AE132" s="6"/>
      <c r="AF132" s="6"/>
    </row>
    <row r="133" spans="1:32" ht="14.45">
      <c r="A133" t="s">
        <v>41</v>
      </c>
      <c r="B133" s="12">
        <v>42884</v>
      </c>
      <c r="C133" s="14">
        <v>0.66666666666666663</v>
      </c>
      <c r="D133">
        <v>177.8</v>
      </c>
      <c r="E133">
        <v>87.1</v>
      </c>
      <c r="G133" s="6">
        <v>81.150164160000003</v>
      </c>
      <c r="H133" s="6">
        <v>5.9498358399999995</v>
      </c>
      <c r="I133">
        <v>50.8</v>
      </c>
      <c r="J133">
        <v>100.5</v>
      </c>
      <c r="K133">
        <v>31</v>
      </c>
      <c r="M133">
        <v>99.8</v>
      </c>
      <c r="N133">
        <v>58.5</v>
      </c>
      <c r="O133" s="6">
        <v>182.54899999999998</v>
      </c>
      <c r="P133">
        <v>45</v>
      </c>
      <c r="Q133">
        <v>38</v>
      </c>
      <c r="R133">
        <v>7.5</v>
      </c>
      <c r="S133">
        <v>7.8</v>
      </c>
      <c r="T133">
        <v>3.4</v>
      </c>
      <c r="U133">
        <v>9.1999999999999993</v>
      </c>
      <c r="V133">
        <v>6</v>
      </c>
      <c r="W133">
        <v>9.8000000000000007</v>
      </c>
      <c r="X133">
        <v>4.9000000000000004</v>
      </c>
      <c r="Y133">
        <v>4.4000000000000004</v>
      </c>
      <c r="Z133">
        <v>53</v>
      </c>
      <c r="AA133" s="6">
        <v>6.8310399999999998</v>
      </c>
      <c r="AB133" s="6">
        <f>Anthropometry[[#This Row],[Upper arm girth - R]]-(PI()*(Anthropometry[[#This Row],[Triceps]]/10))</f>
        <v>28.643805509807656</v>
      </c>
      <c r="AC133" s="6">
        <f>Anthropometry[[#This Row],[Mid-thighs]]-PI()*(Anthropometry[[#This Row],[Thigh]]/10)</f>
        <v>56.960619599741001</v>
      </c>
      <c r="AD133" s="6">
        <f>Anthropometry[[#This Row],[Mid-calf]]-PI()*(Anthropometry[[#This Row],[Calf]]/10)</f>
        <v>36.617699232420492</v>
      </c>
      <c r="AE133" s="6"/>
      <c r="AF133" s="6"/>
    </row>
    <row r="134" spans="1:32" ht="14.45">
      <c r="A134" t="s">
        <v>44</v>
      </c>
      <c r="B134" s="12">
        <v>42886</v>
      </c>
      <c r="C134" s="14">
        <v>0.58333333333333337</v>
      </c>
      <c r="D134">
        <v>174.5</v>
      </c>
      <c r="E134">
        <v>61.8</v>
      </c>
      <c r="F134" s="6">
        <v>20.295399873564254</v>
      </c>
      <c r="G134" s="6">
        <v>53.790176159999994</v>
      </c>
      <c r="H134" s="6">
        <v>8.009823840000001</v>
      </c>
      <c r="I134">
        <v>44.5</v>
      </c>
      <c r="J134">
        <v>80</v>
      </c>
      <c r="K134">
        <v>25.2</v>
      </c>
      <c r="M134">
        <v>93.2</v>
      </c>
      <c r="N134">
        <v>51.5</v>
      </c>
      <c r="O134" s="6">
        <v>127.426</v>
      </c>
      <c r="P134">
        <v>42</v>
      </c>
      <c r="Q134">
        <v>34</v>
      </c>
      <c r="R134">
        <v>12</v>
      </c>
      <c r="S134">
        <v>7</v>
      </c>
      <c r="T134">
        <v>6.2</v>
      </c>
      <c r="U134">
        <v>8</v>
      </c>
      <c r="V134">
        <v>5.4</v>
      </c>
      <c r="W134">
        <v>9.8000000000000007</v>
      </c>
      <c r="X134">
        <v>15.6</v>
      </c>
      <c r="Y134">
        <v>10.8</v>
      </c>
      <c r="Z134">
        <v>74.8</v>
      </c>
      <c r="AA134" s="6">
        <v>12.960880000000001</v>
      </c>
      <c r="AB134" s="6">
        <f>Anthropometry[[#This Row],[Upper arm girth - R]]-(PI()*(Anthropometry[[#This Row],[Triceps]]/10))</f>
        <v>21.430088815692248</v>
      </c>
      <c r="AC134" s="6">
        <f>Anthropometry[[#This Row],[Mid-thighs]]-PI()*(Anthropometry[[#This Row],[Thigh]]/10)</f>
        <v>46.599115460399922</v>
      </c>
      <c r="AD134" s="6">
        <f>Anthropometry[[#This Row],[Mid-calf]]-PI()*(Anthropometry[[#This Row],[Calf]]/10)</f>
        <v>30.607079934123021</v>
      </c>
      <c r="AE134" s="6"/>
      <c r="AF134" s="6"/>
    </row>
    <row r="135" spans="1:32" ht="14.45">
      <c r="A135" t="s">
        <v>42</v>
      </c>
      <c r="B135" s="12">
        <v>42916</v>
      </c>
      <c r="C135" s="14">
        <v>0.375</v>
      </c>
      <c r="D135">
        <v>167.2</v>
      </c>
      <c r="E135">
        <v>68.400000000000006</v>
      </c>
      <c r="F135" s="6">
        <v>20.454545454545457</v>
      </c>
      <c r="G135" s="6">
        <v>59.852407680000013</v>
      </c>
      <c r="H135" s="6">
        <v>8.5475923199999997</v>
      </c>
      <c r="I135">
        <v>44.5</v>
      </c>
      <c r="J135">
        <v>83</v>
      </c>
      <c r="K135">
        <v>27.2</v>
      </c>
      <c r="M135">
        <v>98.1</v>
      </c>
      <c r="N135">
        <v>54.5</v>
      </c>
      <c r="O135" s="6">
        <v>149.40799999999996</v>
      </c>
      <c r="P135">
        <v>45</v>
      </c>
      <c r="Q135">
        <v>37</v>
      </c>
      <c r="R135">
        <v>9.6999999999999993</v>
      </c>
      <c r="S135">
        <v>7.6</v>
      </c>
      <c r="T135">
        <v>4.0999999999999996</v>
      </c>
      <c r="U135">
        <v>9.1</v>
      </c>
      <c r="V135">
        <v>6.6</v>
      </c>
      <c r="W135">
        <v>11.6</v>
      </c>
      <c r="X135">
        <v>11.8</v>
      </c>
      <c r="Y135">
        <v>10.3</v>
      </c>
      <c r="Z135">
        <v>70.8</v>
      </c>
      <c r="AA135" s="6">
        <v>12.496479999999998</v>
      </c>
      <c r="AB135" s="6">
        <f>Anthropometry[[#This Row],[Upper arm girth - R]]-(PI()*(Anthropometry[[#This Row],[Triceps]]/10))</f>
        <v>24.152655126017901</v>
      </c>
      <c r="AC135" s="6">
        <f>Anthropometry[[#This Row],[Mid-thighs]]-PI()*(Anthropometry[[#This Row],[Thigh]]/10)</f>
        <v>50.79292066876404</v>
      </c>
      <c r="AD135" s="6">
        <f>Anthropometry[[#This Row],[Mid-calf]]-PI()*(Anthropometry[[#This Row],[Calf]]/10)</f>
        <v>33.764159566802512</v>
      </c>
      <c r="AE135" s="6"/>
      <c r="AF135" s="6"/>
    </row>
    <row r="136" spans="1:32" ht="14.45">
      <c r="A136" t="s">
        <v>41</v>
      </c>
      <c r="B136" s="12">
        <v>42954</v>
      </c>
      <c r="C136" s="14">
        <v>0.45833333333333331</v>
      </c>
      <c r="D136">
        <v>177.8</v>
      </c>
      <c r="E136">
        <v>85</v>
      </c>
      <c r="G136" s="6">
        <v>79.479488000000003</v>
      </c>
      <c r="H136" s="6">
        <v>5.5205120000000001</v>
      </c>
      <c r="I136">
        <v>50.8</v>
      </c>
      <c r="J136">
        <v>96.3</v>
      </c>
      <c r="K136">
        <v>32.5</v>
      </c>
      <c r="M136">
        <v>99.5</v>
      </c>
      <c r="N136">
        <v>59.5</v>
      </c>
      <c r="O136" s="6">
        <v>186.60199999999998</v>
      </c>
      <c r="P136">
        <v>45.5</v>
      </c>
      <c r="Q136">
        <v>37.5</v>
      </c>
      <c r="R136">
        <v>6.4</v>
      </c>
      <c r="S136">
        <v>7.6</v>
      </c>
      <c r="T136">
        <v>3.2</v>
      </c>
      <c r="U136">
        <v>8</v>
      </c>
      <c r="V136">
        <v>5.3</v>
      </c>
      <c r="W136">
        <v>8.3000000000000007</v>
      </c>
      <c r="X136">
        <v>5.2</v>
      </c>
      <c r="Y136">
        <v>4.4000000000000004</v>
      </c>
      <c r="Z136">
        <v>48.4</v>
      </c>
      <c r="AA136" s="6">
        <v>6.49472</v>
      </c>
      <c r="AB136" s="6">
        <f>Anthropometry[[#This Row],[Upper arm girth - R]]-(PI()*(Anthropometry[[#This Row],[Triceps]]/10))</f>
        <v>30.489380701702533</v>
      </c>
      <c r="AC136" s="6">
        <f>Anthropometry[[#This Row],[Mid-thighs]]-PI()*(Anthropometry[[#This Row],[Thigh]]/10)</f>
        <v>57.86637182013331</v>
      </c>
      <c r="AD136" s="6">
        <f>Anthropometry[[#This Row],[Mid-calf]]-PI()*(Anthropometry[[#This Row],[Calf]]/10)</f>
        <v>36.117699232420492</v>
      </c>
      <c r="AE136" s="6"/>
      <c r="AF136" s="6"/>
    </row>
    <row r="137" spans="1:32" ht="14.45">
      <c r="A137" t="s">
        <v>43</v>
      </c>
      <c r="B137" s="12">
        <v>44623</v>
      </c>
      <c r="C137" s="14">
        <v>0.33333333333333331</v>
      </c>
      <c r="D137" s="6">
        <v>177.5</v>
      </c>
      <c r="E137">
        <v>79.2</v>
      </c>
      <c r="F137" s="6">
        <f>(E137/((D137/100)*(D137/100)))</f>
        <v>25.137869470343187</v>
      </c>
      <c r="G137" s="13">
        <f>E137/100*(100-AA137)</f>
        <v>66.053845440000003</v>
      </c>
      <c r="H137" s="6">
        <f>E137/100*AA137</f>
        <v>13.146154559999999</v>
      </c>
      <c r="K137">
        <v>30</v>
      </c>
      <c r="M137">
        <v>108.2</v>
      </c>
      <c r="N137">
        <v>59</v>
      </c>
      <c r="O137" s="6">
        <f>(((4.68*N137)-(2.09*X137))-80.99)</f>
        <v>147.06</v>
      </c>
      <c r="P137">
        <v>47</v>
      </c>
      <c r="Q137">
        <v>40.200000000000003</v>
      </c>
      <c r="R137">
        <v>18.5</v>
      </c>
      <c r="S137">
        <v>10.199999999999999</v>
      </c>
      <c r="T137">
        <v>4.5999999999999996</v>
      </c>
      <c r="U137">
        <v>12.8</v>
      </c>
      <c r="V137">
        <v>7.1</v>
      </c>
      <c r="W137">
        <v>13.2</v>
      </c>
      <c r="X137">
        <v>23</v>
      </c>
      <c r="Y137">
        <v>12.1</v>
      </c>
      <c r="Z137">
        <f>SUM(R137:Y137)</f>
        <v>101.49999999999999</v>
      </c>
      <c r="AA137" s="6">
        <f>((0.1548*SUM(R137:S137,V137:Y137))+3.58)</f>
        <v>16.598679999999998</v>
      </c>
      <c r="AB137" s="6">
        <f>Anthropometry[[#This Row],[Upper arm girth - R]]-(PI()*(Anthropometry[[#This Row],[Triceps]]/10))</f>
        <v>24.188053590858882</v>
      </c>
      <c r="AC137" s="6">
        <f>Anthropometry[[#This Row],[Mid-thighs]]-PI()*(Anthropometry[[#This Row],[Thigh]]/10)</f>
        <v>51.774336896743478</v>
      </c>
      <c r="AD137" s="6">
        <f>Anthropometry[[#This Row],[Mid-calf]]-PI()*(Anthropometry[[#This Row],[Calf]]/10)</f>
        <v>36.398672889156352</v>
      </c>
      <c r="AE137" s="6"/>
      <c r="AF137" s="6"/>
    </row>
    <row r="138" spans="1:32" ht="14.45">
      <c r="A138" t="s">
        <v>42</v>
      </c>
      <c r="B138" s="12">
        <v>42968</v>
      </c>
      <c r="C138" s="14">
        <v>0.41666666666666669</v>
      </c>
      <c r="D138">
        <v>167.5</v>
      </c>
      <c r="E138">
        <v>68.3</v>
      </c>
      <c r="F138" s="6">
        <v>20.388059701492537</v>
      </c>
      <c r="G138" s="6">
        <v>59.659175759999997</v>
      </c>
      <c r="H138" s="6">
        <v>8.6408242399999988</v>
      </c>
      <c r="I138">
        <v>44.3</v>
      </c>
      <c r="J138">
        <v>82.3</v>
      </c>
      <c r="K138">
        <v>27.5</v>
      </c>
      <c r="M138">
        <v>98.5</v>
      </c>
      <c r="N138">
        <v>55.5</v>
      </c>
      <c r="O138" s="6">
        <v>154.29700000000003</v>
      </c>
      <c r="P138">
        <v>45.5</v>
      </c>
      <c r="Q138">
        <v>37.5</v>
      </c>
      <c r="R138">
        <v>10.199999999999999</v>
      </c>
      <c r="S138">
        <v>8.1999999999999993</v>
      </c>
      <c r="T138">
        <v>4.4000000000000004</v>
      </c>
      <c r="U138">
        <v>11.2</v>
      </c>
      <c r="V138">
        <v>6.9</v>
      </c>
      <c r="W138">
        <v>10.8</v>
      </c>
      <c r="X138">
        <v>11.7</v>
      </c>
      <c r="Y138">
        <v>10.8</v>
      </c>
      <c r="Z138">
        <v>74.2</v>
      </c>
      <c r="AA138" s="6">
        <v>12.651279999999998</v>
      </c>
      <c r="AB138" s="6">
        <f>Anthropometry[[#This Row],[Upper arm girth - R]]-(PI()*(Anthropometry[[#This Row],[Triceps]]/10))</f>
        <v>24.295575493338411</v>
      </c>
      <c r="AC138" s="6">
        <f>Anthropometry[[#This Row],[Mid-thighs]]-PI()*(Anthropometry[[#This Row],[Thigh]]/10)</f>
        <v>51.82433659529994</v>
      </c>
      <c r="AD138" s="6">
        <f>Anthropometry[[#This Row],[Mid-calf]]-PI()*(Anthropometry[[#This Row],[Calf]]/10)</f>
        <v>34.107079934123021</v>
      </c>
      <c r="AE138" s="6"/>
      <c r="AF138" s="6"/>
    </row>
    <row r="139" spans="1:32" ht="14.45">
      <c r="A139" t="s">
        <v>44</v>
      </c>
      <c r="B139" s="12">
        <v>42976</v>
      </c>
      <c r="C139" s="14">
        <v>0.47916666666666669</v>
      </c>
      <c r="D139">
        <v>171.1</v>
      </c>
      <c r="E139">
        <v>63.6</v>
      </c>
      <c r="F139" s="6">
        <v>21.724865509077478</v>
      </c>
      <c r="G139" s="6">
        <v>55.041831360000003</v>
      </c>
      <c r="H139" s="6">
        <v>8.5581686399999999</v>
      </c>
      <c r="I139">
        <v>44</v>
      </c>
      <c r="J139">
        <v>85.1</v>
      </c>
      <c r="K139">
        <v>26.5</v>
      </c>
      <c r="M139">
        <v>94.5</v>
      </c>
      <c r="N139">
        <v>51.8</v>
      </c>
      <c r="O139" s="6">
        <v>129.03899999999999</v>
      </c>
      <c r="P139">
        <v>42.5</v>
      </c>
      <c r="Q139">
        <v>34</v>
      </c>
      <c r="R139">
        <v>13</v>
      </c>
      <c r="S139">
        <v>7.8</v>
      </c>
      <c r="T139">
        <v>7</v>
      </c>
      <c r="U139">
        <v>10.8</v>
      </c>
      <c r="V139">
        <v>6.5</v>
      </c>
      <c r="W139">
        <v>10.5</v>
      </c>
      <c r="X139">
        <v>15.5</v>
      </c>
      <c r="Y139">
        <v>10.5</v>
      </c>
      <c r="Z139">
        <v>81.599999999999994</v>
      </c>
      <c r="AA139" s="6">
        <v>13.456239999999999</v>
      </c>
      <c r="AB139" s="6">
        <f>Anthropometry[[#This Row],[Upper arm girth - R]]-(PI()*(Anthropometry[[#This Row],[Triceps]]/10))</f>
        <v>22.415929550333267</v>
      </c>
      <c r="AC139" s="6">
        <f>Anthropometry[[#This Row],[Mid-thighs]]-PI()*(Anthropometry[[#This Row],[Thigh]]/10)</f>
        <v>46.930531386935819</v>
      </c>
      <c r="AD139" s="6">
        <f>Anthropometry[[#This Row],[Mid-calf]]-PI()*(Anthropometry[[#This Row],[Calf]]/10)</f>
        <v>30.701327713730716</v>
      </c>
      <c r="AE139" s="6"/>
      <c r="AF139" s="6"/>
    </row>
    <row r="140" spans="1:32" ht="14.45">
      <c r="A140" t="s">
        <v>43</v>
      </c>
      <c r="B140" s="12">
        <v>44697</v>
      </c>
      <c r="C140" s="14">
        <v>0.33333333333333331</v>
      </c>
      <c r="D140" s="6">
        <v>176.7</v>
      </c>
      <c r="E140">
        <v>81.3</v>
      </c>
      <c r="F140" s="6">
        <f>(E140/((D140/100)*(D140/100)))</f>
        <v>26.038588996726439</v>
      </c>
      <c r="G140" s="13">
        <f>E140/100*(100-AA140)</f>
        <v>68.824677600000001</v>
      </c>
      <c r="H140" s="6">
        <f>E140/100*AA140</f>
        <v>12.475322399999998</v>
      </c>
      <c r="K140">
        <v>29.5</v>
      </c>
      <c r="M140">
        <v>109</v>
      </c>
      <c r="N140">
        <v>60</v>
      </c>
      <c r="O140" s="6">
        <f>(((4.68*N140)-(2.09*X140))-80.99)</f>
        <v>157.59199999999998</v>
      </c>
      <c r="P140">
        <v>47</v>
      </c>
      <c r="Q140">
        <v>40.799999999999997</v>
      </c>
      <c r="R140">
        <v>15.4</v>
      </c>
      <c r="S140">
        <v>10.199999999999999</v>
      </c>
      <c r="T140">
        <v>4.7</v>
      </c>
      <c r="U140">
        <v>12</v>
      </c>
      <c r="V140">
        <v>6.2</v>
      </c>
      <c r="W140">
        <v>12.4</v>
      </c>
      <c r="X140">
        <v>20.2</v>
      </c>
      <c r="Y140">
        <v>11.6</v>
      </c>
      <c r="Z140">
        <f>SUM(R140:Y140)</f>
        <v>92.699999999999989</v>
      </c>
      <c r="AA140" s="6">
        <f>((0.1548*SUM(R140:S140,V140:Y140))+3.58)</f>
        <v>15.344799999999999</v>
      </c>
      <c r="AB140" s="6">
        <f>Anthropometry[[#This Row],[Upper arm girth - R]]-(PI()*(Anthropometry[[#This Row],[Triceps]]/10))</f>
        <v>24.661947313471718</v>
      </c>
      <c r="AC140" s="6">
        <f>Anthropometry[[#This Row],[Mid-thighs]]-PI()*(Anthropometry[[#This Row],[Thigh]]/10)</f>
        <v>53.653982839748622</v>
      </c>
      <c r="AD140" s="6">
        <f>Anthropometry[[#This Row],[Mid-calf]]-PI()*(Anthropometry[[#This Row],[Calf]]/10)</f>
        <v>37.155752521835836</v>
      </c>
      <c r="AE140" s="6"/>
      <c r="AF140" s="6"/>
    </row>
    <row r="141" spans="1:32" ht="14.45">
      <c r="A141" t="s">
        <v>41</v>
      </c>
      <c r="B141" s="12">
        <v>42977</v>
      </c>
      <c r="C141" s="14">
        <v>0.59375</v>
      </c>
      <c r="D141">
        <v>176.3</v>
      </c>
      <c r="E141">
        <v>82.9</v>
      </c>
      <c r="G141" s="6">
        <v>77.637856180000014</v>
      </c>
      <c r="H141" s="6">
        <v>5.2621438200000012</v>
      </c>
      <c r="I141">
        <v>50.5</v>
      </c>
      <c r="J141">
        <v>96.6</v>
      </c>
      <c r="K141">
        <v>31</v>
      </c>
      <c r="M141">
        <v>99</v>
      </c>
      <c r="N141">
        <v>58.4</v>
      </c>
      <c r="O141" s="6">
        <v>181.87199999999996</v>
      </c>
      <c r="P141">
        <v>44.6</v>
      </c>
      <c r="Q141">
        <v>37.299999999999997</v>
      </c>
      <c r="R141">
        <v>6.8</v>
      </c>
      <c r="S141">
        <v>7.2</v>
      </c>
      <c r="T141">
        <v>3</v>
      </c>
      <c r="U141">
        <v>7.6</v>
      </c>
      <c r="V141">
        <v>4.5999999999999996</v>
      </c>
      <c r="W141">
        <v>7.6</v>
      </c>
      <c r="X141">
        <v>5</v>
      </c>
      <c r="Y141">
        <v>4.5999999999999996</v>
      </c>
      <c r="Z141">
        <v>46.400000000000006</v>
      </c>
      <c r="AA141" s="6">
        <v>6.3475800000000007</v>
      </c>
      <c r="AB141" s="6">
        <f>Anthropometry[[#This Row],[Upper arm girth - R]]-(PI()*(Anthropometry[[#This Row],[Triceps]]/10))</f>
        <v>28.863716995558942</v>
      </c>
      <c r="AC141" s="6">
        <f>Anthropometry[[#This Row],[Mid-thighs]]-PI()*(Anthropometry[[#This Row],[Thigh]]/10)</f>
        <v>56.8292036732051</v>
      </c>
      <c r="AD141" s="6">
        <f>Anthropometry[[#This Row],[Mid-calf]]-PI()*(Anthropometry[[#This Row],[Calf]]/10)</f>
        <v>35.85486737934869</v>
      </c>
      <c r="AE141" s="6"/>
      <c r="AF141" s="6"/>
    </row>
    <row r="142" spans="1:32" ht="14.45">
      <c r="A142" t="s">
        <v>45</v>
      </c>
      <c r="B142" s="12">
        <v>42978</v>
      </c>
      <c r="C142" s="14">
        <v>0.42708333333333331</v>
      </c>
      <c r="D142" s="6">
        <v>175.7</v>
      </c>
      <c r="E142">
        <v>76.8</v>
      </c>
      <c r="G142" s="6">
        <f>E142/100*(100-AA142)</f>
        <v>69.987855359999998</v>
      </c>
      <c r="H142" s="6">
        <f>E142/100*AA142</f>
        <v>6.8121446400000005</v>
      </c>
      <c r="I142">
        <v>46.8</v>
      </c>
      <c r="J142">
        <v>90.5</v>
      </c>
      <c r="K142">
        <v>28.7</v>
      </c>
      <c r="M142">
        <v>96.5</v>
      </c>
      <c r="N142">
        <v>56.3</v>
      </c>
      <c r="O142" s="6">
        <f>(((4.68*N142)-(2.09*X142))-80.99)</f>
        <v>155.74199999999996</v>
      </c>
      <c r="P142">
        <v>46</v>
      </c>
      <c r="Q142">
        <v>37.799999999999997</v>
      </c>
      <c r="R142">
        <v>7.3</v>
      </c>
      <c r="S142">
        <v>10.199999999999999</v>
      </c>
      <c r="T142">
        <v>3.1</v>
      </c>
      <c r="U142">
        <v>12.8</v>
      </c>
      <c r="V142">
        <v>6.4</v>
      </c>
      <c r="W142">
        <v>19</v>
      </c>
      <c r="X142">
        <v>12.8</v>
      </c>
      <c r="Y142">
        <v>4.0999999999999996</v>
      </c>
      <c r="Z142">
        <f>SUM(R142:Y142)</f>
        <v>75.7</v>
      </c>
      <c r="AA142" s="6">
        <f>((0.1051*SUM(R142:S142,V142:Y142))+2.585)</f>
        <v>8.86998</v>
      </c>
      <c r="AB142" s="6">
        <f>Anthropometry[[#This Row],[Upper arm girth - R]]-(PI()*(Anthropometry[[#This Row],[Triceps]]/10))</f>
        <v>26.406637362879451</v>
      </c>
      <c r="AC142" s="6">
        <f>Anthropometry[[#This Row],[Mid-thighs]]-PI()*(Anthropometry[[#This Row],[Thigh]]/10)</f>
        <v>52.278761403405063</v>
      </c>
      <c r="AD142" s="6">
        <f>Anthropometry[[#This Row],[Mid-calf]]-PI()*(Anthropometry[[#This Row],[Calf]]/10)</f>
        <v>36.51194701202818</v>
      </c>
      <c r="AE142" s="6"/>
      <c r="AF142" s="6"/>
    </row>
    <row r="143" spans="1:32" ht="14.45">
      <c r="A143" t="s">
        <v>39</v>
      </c>
      <c r="B143" s="12">
        <v>42978</v>
      </c>
      <c r="C143" s="14">
        <v>0.54166666666666663</v>
      </c>
      <c r="D143">
        <v>180.1</v>
      </c>
      <c r="E143">
        <v>85.6</v>
      </c>
      <c r="G143" s="6">
        <v>78.781001279999998</v>
      </c>
      <c r="H143" s="6">
        <v>6.8189987199999997</v>
      </c>
      <c r="I143">
        <v>48.1</v>
      </c>
      <c r="J143">
        <v>94.3</v>
      </c>
      <c r="K143">
        <v>30.5</v>
      </c>
      <c r="M143">
        <v>99.1</v>
      </c>
      <c r="N143">
        <v>59.7</v>
      </c>
      <c r="O143" s="6">
        <v>181.89499999999998</v>
      </c>
      <c r="P143">
        <v>49.5</v>
      </c>
      <c r="Q143">
        <v>40.5</v>
      </c>
      <c r="R143">
        <v>6.8</v>
      </c>
      <c r="S143">
        <v>8</v>
      </c>
      <c r="T143">
        <v>3.9</v>
      </c>
      <c r="U143">
        <v>14.8</v>
      </c>
      <c r="V143">
        <v>7.2</v>
      </c>
      <c r="W143">
        <v>16.2</v>
      </c>
      <c r="X143">
        <v>7.9</v>
      </c>
      <c r="Y143">
        <v>5.0999999999999996</v>
      </c>
      <c r="Z143" s="6">
        <v>69.900000000000006</v>
      </c>
      <c r="AA143" s="6">
        <v>7.9661200000000001</v>
      </c>
      <c r="AB143" s="6">
        <f>Anthropometry[[#This Row],[Upper arm girth - R]]-(PI()*(Anthropometry[[#This Row],[Triceps]]/10))</f>
        <v>28.363716995558942</v>
      </c>
      <c r="AC143" s="6">
        <f>Anthropometry[[#This Row],[Mid-thighs]]-PI()*(Anthropometry[[#This Row],[Thigh]]/10)</f>
        <v>57.218141803664068</v>
      </c>
      <c r="AD143" s="6">
        <f>Anthropometry[[#This Row],[Mid-calf]]-PI()*(Anthropometry[[#This Row],[Calf]]/10)</f>
        <v>38.897787746669202</v>
      </c>
      <c r="AE143" s="6"/>
      <c r="AF143" s="6"/>
    </row>
    <row r="144" spans="1:32" ht="14.45">
      <c r="A144" t="s">
        <v>40</v>
      </c>
      <c r="B144" s="12">
        <v>43004</v>
      </c>
      <c r="C144" s="14">
        <v>0.51041666666666663</v>
      </c>
      <c r="D144" s="6">
        <v>182.8</v>
      </c>
      <c r="E144">
        <v>84.5</v>
      </c>
      <c r="G144" s="6">
        <v>78.052819</v>
      </c>
      <c r="H144" s="6">
        <v>6.4471810000000005</v>
      </c>
      <c r="I144">
        <v>49.4</v>
      </c>
      <c r="J144">
        <v>93.9</v>
      </c>
      <c r="K144">
        <v>30.6</v>
      </c>
      <c r="M144">
        <v>100.3</v>
      </c>
      <c r="N144">
        <v>57.3</v>
      </c>
      <c r="O144" s="6">
        <v>176.09699999999998</v>
      </c>
      <c r="P144">
        <v>46.3</v>
      </c>
      <c r="Q144">
        <v>35.200000000000003</v>
      </c>
      <c r="R144">
        <v>5.9</v>
      </c>
      <c r="S144">
        <v>10.5</v>
      </c>
      <c r="T144">
        <v>2.7</v>
      </c>
      <c r="U144">
        <v>9</v>
      </c>
      <c r="V144">
        <v>6.1</v>
      </c>
      <c r="W144">
        <v>16.2</v>
      </c>
      <c r="X144">
        <v>5.3</v>
      </c>
      <c r="Y144">
        <v>4</v>
      </c>
      <c r="Z144">
        <v>59.699999999999989</v>
      </c>
      <c r="AA144" s="6">
        <v>7.6298000000000004</v>
      </c>
      <c r="AB144" s="6">
        <f>Anthropometry[[#This Row],[Upper arm girth - R]]-(PI()*(Anthropometry[[#This Row],[Triceps]]/10))</f>
        <v>28.746460334382022</v>
      </c>
      <c r="AC144" s="6">
        <f>Anthropometry[[#This Row],[Mid-thighs]]-PI()*(Anthropometry[[#This Row],[Thigh]]/10)</f>
        <v>55.634955893597407</v>
      </c>
      <c r="AD144" s="6">
        <f>Anthropometry[[#This Row],[Mid-calf]]-PI()*(Anthropometry[[#This Row],[Calf]]/10)</f>
        <v>33.943362938564086</v>
      </c>
      <c r="AE144" s="6"/>
      <c r="AF144" s="6"/>
    </row>
    <row r="145" spans="1:39" ht="14.45">
      <c r="A145" t="s">
        <v>45</v>
      </c>
      <c r="B145" s="12">
        <v>43033</v>
      </c>
      <c r="C145" s="14">
        <v>0.40277777777777773</v>
      </c>
      <c r="D145" s="6">
        <v>175.7</v>
      </c>
      <c r="E145">
        <v>76.900000000000006</v>
      </c>
      <c r="G145" s="6">
        <f>E145/100*(100-AA145)</f>
        <v>70.862957809999997</v>
      </c>
      <c r="H145" s="6">
        <f>E145/100*AA145</f>
        <v>6.0370421900000011</v>
      </c>
      <c r="I145">
        <v>46.9</v>
      </c>
      <c r="J145">
        <v>91</v>
      </c>
      <c r="K145">
        <v>28.5</v>
      </c>
      <c r="M145">
        <v>94.7</v>
      </c>
      <c r="N145">
        <v>57.5</v>
      </c>
      <c r="O145" s="6">
        <f>(((4.68*N145)-(2.09*X145))-80.99)</f>
        <v>163.86599999999999</v>
      </c>
      <c r="P145">
        <v>45.5</v>
      </c>
      <c r="Q145">
        <v>38.1</v>
      </c>
      <c r="R145">
        <v>6.5</v>
      </c>
      <c r="S145">
        <v>10</v>
      </c>
      <c r="T145">
        <v>3.1</v>
      </c>
      <c r="U145">
        <v>10.8</v>
      </c>
      <c r="V145">
        <v>5.6</v>
      </c>
      <c r="W145">
        <v>12.8</v>
      </c>
      <c r="X145">
        <v>11.6</v>
      </c>
      <c r="Y145">
        <v>3.6</v>
      </c>
      <c r="Z145">
        <f>SUM(R145:Y145)</f>
        <v>64</v>
      </c>
      <c r="AA145" s="6">
        <f>((0.1051*SUM(R145:S145,V145:Y145))+2.585)</f>
        <v>7.8505100000000008</v>
      </c>
      <c r="AB145" s="6">
        <f>Anthropometry[[#This Row],[Upper arm girth - R]]-(PI()*(Anthropometry[[#This Row],[Triceps]]/10))</f>
        <v>26.457964775166634</v>
      </c>
      <c r="AC145" s="6">
        <f>Anthropometry[[#This Row],[Mid-thighs]]-PI()*(Anthropometry[[#This Row],[Thigh]]/10)</f>
        <v>53.855752521835839</v>
      </c>
      <c r="AD145" s="6">
        <f>Anthropometry[[#This Row],[Mid-calf]]-PI()*(Anthropometry[[#This Row],[Calf]]/10)</f>
        <v>36.969026644707675</v>
      </c>
      <c r="AE145" s="6"/>
      <c r="AF145" s="6"/>
    </row>
    <row r="146" spans="1:39" ht="14.45">
      <c r="A146" t="s">
        <v>44</v>
      </c>
      <c r="B146" s="12">
        <v>43033</v>
      </c>
      <c r="C146" s="14">
        <v>0.44791666666666669</v>
      </c>
      <c r="D146">
        <v>171.1</v>
      </c>
      <c r="E146">
        <v>64.099999999999994</v>
      </c>
      <c r="F146" s="6">
        <v>21.895658476916136</v>
      </c>
      <c r="G146" s="6">
        <v>55.028029559999993</v>
      </c>
      <c r="H146" s="6">
        <v>9.0719704399999976</v>
      </c>
      <c r="I146">
        <v>43.2</v>
      </c>
      <c r="J146">
        <v>83.5</v>
      </c>
      <c r="K146">
        <v>26.8</v>
      </c>
      <c r="M146">
        <v>92.5</v>
      </c>
      <c r="N146">
        <v>52.5</v>
      </c>
      <c r="O146" s="6">
        <v>128.13499999999999</v>
      </c>
      <c r="P146">
        <v>42.5</v>
      </c>
      <c r="Q146">
        <v>34.5</v>
      </c>
      <c r="R146">
        <v>14.4</v>
      </c>
      <c r="S146">
        <v>7.4</v>
      </c>
      <c r="T146">
        <v>4.8</v>
      </c>
      <c r="U146">
        <v>9.1999999999999993</v>
      </c>
      <c r="V146">
        <v>6.5</v>
      </c>
      <c r="W146">
        <v>10</v>
      </c>
      <c r="X146">
        <v>17.5</v>
      </c>
      <c r="Y146">
        <v>12.5</v>
      </c>
      <c r="Z146">
        <v>82.3</v>
      </c>
      <c r="AA146" s="6">
        <v>14.152839999999999</v>
      </c>
      <c r="AB146" s="6">
        <f>Anthropometry[[#This Row],[Upper arm girth - R]]-(PI()*(Anthropometry[[#This Row],[Triceps]]/10))</f>
        <v>22.276106578830699</v>
      </c>
      <c r="AC146" s="6">
        <f>Anthropometry[[#This Row],[Mid-thighs]]-PI()*(Anthropometry[[#This Row],[Thigh]]/10)</f>
        <v>47.002212856217859</v>
      </c>
      <c r="AD146" s="6">
        <f>Anthropometry[[#This Row],[Mid-calf]]-PI()*(Anthropometry[[#This Row],[Calf]]/10)</f>
        <v>30.573009183012758</v>
      </c>
      <c r="AE146" s="6"/>
      <c r="AF146" s="6"/>
    </row>
    <row r="147" spans="1:39" ht="14.45">
      <c r="A147" t="s">
        <v>41</v>
      </c>
      <c r="B147" s="12">
        <v>43033</v>
      </c>
      <c r="C147" s="14">
        <v>0.41319444444444442</v>
      </c>
      <c r="D147">
        <v>176.3</v>
      </c>
      <c r="E147">
        <v>85.2</v>
      </c>
      <c r="G147" s="6">
        <v>79.827679920000008</v>
      </c>
      <c r="H147" s="6">
        <v>5.3723200799999997</v>
      </c>
      <c r="I147">
        <v>50.7</v>
      </c>
      <c r="J147">
        <v>96.8</v>
      </c>
      <c r="K147">
        <v>32</v>
      </c>
      <c r="M147">
        <v>99.1</v>
      </c>
      <c r="N147">
        <v>59.3</v>
      </c>
      <c r="O147" s="6">
        <v>186.08399999999995</v>
      </c>
      <c r="P147">
        <v>46.5</v>
      </c>
      <c r="Q147">
        <v>37.4</v>
      </c>
      <c r="R147">
        <v>6.1</v>
      </c>
      <c r="S147">
        <v>7.5</v>
      </c>
      <c r="T147">
        <v>2.9</v>
      </c>
      <c r="U147">
        <v>7.6</v>
      </c>
      <c r="V147">
        <v>4.7</v>
      </c>
      <c r="W147">
        <v>8.1</v>
      </c>
      <c r="X147">
        <v>5</v>
      </c>
      <c r="Y147">
        <v>4</v>
      </c>
      <c r="Z147">
        <v>45.9</v>
      </c>
      <c r="AA147" s="6">
        <v>6.3055399999999997</v>
      </c>
      <c r="AB147" s="6">
        <f>Anthropometry[[#This Row],[Upper arm girth - R]]-(PI()*(Anthropometry[[#This Row],[Triceps]]/10))</f>
        <v>30.083628481310225</v>
      </c>
      <c r="AC147" s="6">
        <f>Anthropometry[[#This Row],[Mid-thighs]]-PI()*(Anthropometry[[#This Row],[Thigh]]/10)</f>
        <v>57.729203673205099</v>
      </c>
      <c r="AD147" s="6">
        <f>Anthropometry[[#This Row],[Mid-calf]]-PI()*(Anthropometry[[#This Row],[Calf]]/10)</f>
        <v>36.143362938564081</v>
      </c>
      <c r="AE147" s="6"/>
      <c r="AF147" s="6"/>
    </row>
    <row r="148" spans="1:39" ht="14.45">
      <c r="A148" t="s">
        <v>42</v>
      </c>
      <c r="B148" s="12">
        <v>43033</v>
      </c>
      <c r="C148" s="14">
        <v>0.38541666666666669</v>
      </c>
      <c r="D148">
        <v>167.5</v>
      </c>
      <c r="E148">
        <v>69.900000000000006</v>
      </c>
      <c r="F148" s="6">
        <v>20.865671641791046</v>
      </c>
      <c r="G148" s="6">
        <v>60.461626680000009</v>
      </c>
      <c r="H148" s="6">
        <v>9.438373320000002</v>
      </c>
      <c r="I148">
        <v>44.9</v>
      </c>
      <c r="J148">
        <v>82.3</v>
      </c>
      <c r="K148">
        <v>28.5</v>
      </c>
      <c r="M148">
        <v>101</v>
      </c>
      <c r="N148">
        <v>55.5</v>
      </c>
      <c r="O148" s="6">
        <v>151.58000000000004</v>
      </c>
      <c r="P148">
        <v>45.9</v>
      </c>
      <c r="Q148">
        <v>37.4</v>
      </c>
      <c r="R148">
        <v>11.5</v>
      </c>
      <c r="S148">
        <v>8.6</v>
      </c>
      <c r="T148">
        <v>5.8</v>
      </c>
      <c r="U148">
        <v>12.2</v>
      </c>
      <c r="V148">
        <v>7.8</v>
      </c>
      <c r="W148">
        <v>12.4</v>
      </c>
      <c r="X148">
        <v>13</v>
      </c>
      <c r="Y148">
        <v>10.8</v>
      </c>
      <c r="Z148">
        <v>82.1</v>
      </c>
      <c r="AA148" s="6">
        <v>13.502680000000002</v>
      </c>
      <c r="AB148" s="6">
        <f>Anthropometry[[#This Row],[Upper arm girth - R]]-(PI()*(Anthropometry[[#This Row],[Triceps]]/10))</f>
        <v>24.887168448371739</v>
      </c>
      <c r="AC148" s="6">
        <f>Anthropometry[[#This Row],[Mid-thighs]]-PI()*(Anthropometry[[#This Row],[Thigh]]/10)</f>
        <v>51.415929550333267</v>
      </c>
      <c r="AD148" s="6">
        <f>Anthropometry[[#This Row],[Mid-calf]]-PI()*(Anthropometry[[#This Row],[Calf]]/10)</f>
        <v>34.00707993412302</v>
      </c>
      <c r="AE148" s="6"/>
      <c r="AF148" s="6"/>
    </row>
    <row r="149" spans="1:39" ht="14.45">
      <c r="A149" t="s">
        <v>43</v>
      </c>
      <c r="B149" s="12">
        <v>44894</v>
      </c>
      <c r="C149" s="14">
        <v>0.32291666666666669</v>
      </c>
      <c r="D149" s="6">
        <v>176.7</v>
      </c>
      <c r="E149">
        <v>82.7</v>
      </c>
      <c r="F149" s="6">
        <f>(E149/((D149/100)*(D149/100)))</f>
        <v>26.486977983139937</v>
      </c>
      <c r="G149" s="13">
        <f>E149/100*(100-AA149)</f>
        <v>68.063952480000012</v>
      </c>
      <c r="H149" s="6">
        <f>E149/100*AA149</f>
        <v>14.636047519999996</v>
      </c>
      <c r="K149">
        <v>32.200000000000003</v>
      </c>
      <c r="M149">
        <v>109.6</v>
      </c>
      <c r="N149" s="6">
        <v>59.1</v>
      </c>
      <c r="O149" s="6">
        <f>(((4.68*N149)-(2.09*X149))-80.99)</f>
        <v>148.36399999999998</v>
      </c>
      <c r="P149">
        <v>49.1</v>
      </c>
      <c r="Q149">
        <v>40.700000000000003</v>
      </c>
      <c r="R149">
        <v>14.2</v>
      </c>
      <c r="S149">
        <v>10.6</v>
      </c>
      <c r="T149">
        <v>5</v>
      </c>
      <c r="U149">
        <v>17.3</v>
      </c>
      <c r="V149">
        <v>9.1</v>
      </c>
      <c r="W149">
        <v>22.6</v>
      </c>
      <c r="X149">
        <v>22.6</v>
      </c>
      <c r="Y149">
        <v>12.1</v>
      </c>
      <c r="Z149">
        <f>SUM(R149:Y149)</f>
        <v>113.5</v>
      </c>
      <c r="AA149" s="6">
        <f>((0.1548*SUM(R149:S149,V149:Y149))+3.58)</f>
        <v>17.697759999999995</v>
      </c>
      <c r="AB149" s="6">
        <f>Anthropometry[[#This Row],[Upper arm girth - R]]-(PI()*(Anthropometry[[#This Row],[Triceps]]/10))</f>
        <v>27.738938431902497</v>
      </c>
      <c r="AC149" s="6">
        <f>Anthropometry[[#This Row],[Mid-thighs]]-PI()*(Anthropometry[[#This Row],[Thigh]]/10)</f>
        <v>52.00000060288707</v>
      </c>
      <c r="AD149" s="6">
        <f>Anthropometry[[#This Row],[Mid-calf]]-PI()*(Anthropometry[[#This Row],[Calf]]/10)</f>
        <v>36.898672889156352</v>
      </c>
      <c r="AE149" s="6"/>
      <c r="AF149" s="6"/>
      <c r="AG149">
        <v>75.599999999999994</v>
      </c>
      <c r="AH149">
        <v>20.7</v>
      </c>
      <c r="AI149">
        <v>62.1</v>
      </c>
      <c r="AJ149">
        <v>17</v>
      </c>
      <c r="AK149">
        <v>24</v>
      </c>
      <c r="AL149">
        <v>10.199999999999999</v>
      </c>
      <c r="AM149">
        <v>34.200000000000003</v>
      </c>
    </row>
    <row r="150" spans="1:39" ht="14.45">
      <c r="A150" t="s">
        <v>40</v>
      </c>
      <c r="B150" s="12">
        <v>43035</v>
      </c>
      <c r="C150" s="14">
        <v>0.375</v>
      </c>
      <c r="D150" s="6">
        <v>182.8</v>
      </c>
      <c r="E150">
        <v>84.1</v>
      </c>
      <c r="G150" s="6">
        <v>77.736371660000003</v>
      </c>
      <c r="H150" s="6">
        <v>6.3636283399999991</v>
      </c>
      <c r="I150">
        <v>49.3</v>
      </c>
      <c r="J150">
        <v>95</v>
      </c>
      <c r="K150" t="s">
        <v>46</v>
      </c>
      <c r="M150">
        <v>101</v>
      </c>
      <c r="N150">
        <v>57.5</v>
      </c>
      <c r="O150" s="6">
        <v>176.82399999999996</v>
      </c>
      <c r="P150">
        <v>46.7</v>
      </c>
      <c r="Q150">
        <v>35.5</v>
      </c>
      <c r="R150">
        <v>5.8</v>
      </c>
      <c r="S150">
        <v>10.5</v>
      </c>
      <c r="T150">
        <v>2.8</v>
      </c>
      <c r="U150">
        <v>8</v>
      </c>
      <c r="V150">
        <v>5.4</v>
      </c>
      <c r="W150">
        <v>16</v>
      </c>
      <c r="X150">
        <v>5.4</v>
      </c>
      <c r="Y150">
        <v>4.3</v>
      </c>
      <c r="Z150">
        <v>58.199999999999996</v>
      </c>
      <c r="AA150" s="6">
        <v>7.5667399999999994</v>
      </c>
      <c r="AB150" s="6" t="e">
        <f>Anthropometry[[#This Row],[Upper arm girth - R]]-(PI()*(Anthropometry[[#This Row],[Triceps]]/10))</f>
        <v>#VALUE!</v>
      </c>
      <c r="AC150" s="6">
        <f>Anthropometry[[#This Row],[Mid-thighs]]-PI()*(Anthropometry[[#This Row],[Thigh]]/10)</f>
        <v>55.803539967061511</v>
      </c>
      <c r="AD150" s="6">
        <f>Anthropometry[[#This Row],[Mid-calf]]-PI()*(Anthropometry[[#This Row],[Calf]]/10)</f>
        <v>34.149115158956391</v>
      </c>
      <c r="AE150" s="6"/>
      <c r="AF150" s="6"/>
    </row>
    <row r="151" spans="1:39" ht="14.45">
      <c r="A151" t="s">
        <v>45</v>
      </c>
      <c r="B151" s="12">
        <v>43074</v>
      </c>
      <c r="C151" s="14">
        <v>0.40277777777777773</v>
      </c>
      <c r="D151" s="6">
        <v>175.7</v>
      </c>
      <c r="E151">
        <v>77</v>
      </c>
      <c r="G151" s="6">
        <f>E151/100*(100-AA151)</f>
        <v>70.890365700000004</v>
      </c>
      <c r="H151" s="6">
        <f>E151/100*AA151</f>
        <v>6.1096342999999997</v>
      </c>
      <c r="I151">
        <v>46.8</v>
      </c>
      <c r="J151">
        <v>91.5</v>
      </c>
      <c r="K151">
        <v>29.2</v>
      </c>
      <c r="M151">
        <v>98.5</v>
      </c>
      <c r="N151">
        <v>57.5</v>
      </c>
      <c r="O151" s="6">
        <f>(((4.68*N151)-(2.09*X151))-80.99)</f>
        <v>163.02999999999997</v>
      </c>
      <c r="P151">
        <v>46.4</v>
      </c>
      <c r="Q151">
        <v>38</v>
      </c>
      <c r="R151">
        <v>6.6</v>
      </c>
      <c r="S151">
        <v>10</v>
      </c>
      <c r="T151">
        <v>3.3</v>
      </c>
      <c r="U151">
        <v>10.4</v>
      </c>
      <c r="V151">
        <v>5.7</v>
      </c>
      <c r="W151">
        <v>13.1</v>
      </c>
      <c r="X151">
        <v>12</v>
      </c>
      <c r="Y151">
        <v>3.5</v>
      </c>
      <c r="Z151">
        <f>SUM(R151:Y151)</f>
        <v>64.600000000000009</v>
      </c>
      <c r="AA151" s="6">
        <f>((0.1051*SUM(R151:S151,V151:Y151))+2.585)</f>
        <v>7.93459</v>
      </c>
      <c r="AB151" s="6">
        <f>Anthropometry[[#This Row],[Upper arm girth - R]]-(PI()*(Anthropometry[[#This Row],[Triceps]]/10))</f>
        <v>27.126548848630737</v>
      </c>
      <c r="AC151" s="6">
        <f>Anthropometry[[#This Row],[Mid-thighs]]-PI()*(Anthropometry[[#This Row],[Thigh]]/10)</f>
        <v>53.730088815692248</v>
      </c>
      <c r="AD151" s="6">
        <f>Anthropometry[[#This Row],[Mid-calf]]-PI()*(Anthropometry[[#This Row],[Calf]]/10)</f>
        <v>36.900442571243573</v>
      </c>
      <c r="AE151" s="6"/>
      <c r="AF151" s="6"/>
    </row>
    <row r="152" spans="1:39" ht="14.45">
      <c r="A152" t="s">
        <v>41</v>
      </c>
      <c r="B152" s="12">
        <v>43074</v>
      </c>
      <c r="C152" s="14">
        <v>0.38541666666666669</v>
      </c>
      <c r="D152">
        <v>176.3</v>
      </c>
      <c r="E152">
        <v>85.1</v>
      </c>
      <c r="G152" s="6">
        <v>79.456721150000007</v>
      </c>
      <c r="H152" s="6">
        <v>5.6432788499999997</v>
      </c>
      <c r="I152">
        <v>50.9</v>
      </c>
      <c r="J152">
        <v>98.5</v>
      </c>
      <c r="K152">
        <v>31.8</v>
      </c>
      <c r="M152">
        <v>98.5</v>
      </c>
      <c r="N152">
        <v>58.6</v>
      </c>
      <c r="O152" s="6">
        <v>181.97199999999998</v>
      </c>
      <c r="P152">
        <v>46.3</v>
      </c>
      <c r="Q152">
        <v>37.5</v>
      </c>
      <c r="R152">
        <v>6.2</v>
      </c>
      <c r="S152">
        <v>7.6</v>
      </c>
      <c r="T152">
        <v>3.5</v>
      </c>
      <c r="U152">
        <v>8.6999999999999993</v>
      </c>
      <c r="V152">
        <v>5.8</v>
      </c>
      <c r="W152">
        <v>9.1999999999999993</v>
      </c>
      <c r="X152">
        <v>5.4</v>
      </c>
      <c r="Y152">
        <v>4.3</v>
      </c>
      <c r="Z152">
        <v>50.699999999999996</v>
      </c>
      <c r="AA152" s="6">
        <v>6.6313500000000003</v>
      </c>
      <c r="AB152" s="6">
        <f>Anthropometry[[#This Row],[Upper arm girth - R]]-(PI()*(Anthropometry[[#This Row],[Triceps]]/10))</f>
        <v>29.852212554774329</v>
      </c>
      <c r="AC152" s="6">
        <f>Anthropometry[[#This Row],[Mid-thighs]]-PI()*(Anthropometry[[#This Row],[Thigh]]/10)</f>
        <v>56.903539967061512</v>
      </c>
      <c r="AD152" s="6">
        <f>Anthropometry[[#This Row],[Mid-calf]]-PI()*(Anthropometry[[#This Row],[Calf]]/10)</f>
        <v>36.149115158956391</v>
      </c>
      <c r="AE152" s="6"/>
      <c r="AF152" s="6"/>
    </row>
    <row r="153" spans="1:39" ht="14.45">
      <c r="A153" t="s">
        <v>40</v>
      </c>
      <c r="B153" s="12">
        <v>43076</v>
      </c>
      <c r="C153" s="14">
        <v>0.58333333333333337</v>
      </c>
      <c r="D153" s="6">
        <v>182.8</v>
      </c>
      <c r="E153">
        <v>83.1</v>
      </c>
      <c r="G153" s="6">
        <v>77.065319549999998</v>
      </c>
      <c r="H153" s="6">
        <v>6.0346804499999998</v>
      </c>
      <c r="I153">
        <v>49.1</v>
      </c>
      <c r="J153">
        <v>94.5</v>
      </c>
      <c r="K153">
        <v>30.5</v>
      </c>
      <c r="M153">
        <v>99.5</v>
      </c>
      <c r="N153">
        <v>57.5</v>
      </c>
      <c r="O153" s="6">
        <v>176.40599999999995</v>
      </c>
      <c r="P153">
        <v>46.6</v>
      </c>
      <c r="Q153">
        <v>35.200000000000003</v>
      </c>
      <c r="R153">
        <v>5.5</v>
      </c>
      <c r="S153">
        <v>10</v>
      </c>
      <c r="T153">
        <v>3.1</v>
      </c>
      <c r="U153">
        <v>9</v>
      </c>
      <c r="V153">
        <v>5.2</v>
      </c>
      <c r="W153">
        <v>14</v>
      </c>
      <c r="X153">
        <v>5.6</v>
      </c>
      <c r="Y153">
        <v>4.2</v>
      </c>
      <c r="Z153">
        <v>56.600000000000009</v>
      </c>
      <c r="AA153" s="6">
        <v>7.2619500000000006</v>
      </c>
      <c r="AB153" s="6">
        <f>Anthropometry[[#This Row],[Upper arm girth - R]]-(PI()*(Anthropometry[[#This Row],[Triceps]]/10))</f>
        <v>28.772124040525615</v>
      </c>
      <c r="AC153" s="6">
        <f>Anthropometry[[#This Row],[Mid-thighs]]-PI()*(Anthropometry[[#This Row],[Thigh]]/10)</f>
        <v>55.740708113989719</v>
      </c>
      <c r="AD153" s="6">
        <f>Anthropometry[[#This Row],[Mid-calf]]-PI()*(Anthropometry[[#This Row],[Calf]]/10)</f>
        <v>33.880531085492287</v>
      </c>
      <c r="AE153" s="6"/>
      <c r="AF153" s="6"/>
    </row>
    <row r="154" spans="1:39" ht="14.45">
      <c r="A154" t="s">
        <v>39</v>
      </c>
      <c r="B154" s="12">
        <v>43077</v>
      </c>
      <c r="C154" s="14">
        <v>0.45833333333333331</v>
      </c>
      <c r="D154">
        <v>180.1</v>
      </c>
      <c r="E154">
        <v>83.9</v>
      </c>
      <c r="G154" s="6">
        <v>78.124667990000006</v>
      </c>
      <c r="H154" s="6">
        <v>5.7753320100000005</v>
      </c>
      <c r="I154">
        <v>47.8</v>
      </c>
      <c r="J154">
        <v>93.5</v>
      </c>
      <c r="K154">
        <v>32</v>
      </c>
      <c r="M154">
        <v>98.4</v>
      </c>
      <c r="N154">
        <v>59</v>
      </c>
      <c r="O154" s="6">
        <v>181.33600000000001</v>
      </c>
      <c r="P154">
        <v>48.5</v>
      </c>
      <c r="Q154">
        <v>40.5</v>
      </c>
      <c r="R154">
        <v>6.5</v>
      </c>
      <c r="S154">
        <v>7.5</v>
      </c>
      <c r="T154">
        <v>3.6</v>
      </c>
      <c r="U154">
        <v>10</v>
      </c>
      <c r="V154">
        <v>5.5</v>
      </c>
      <c r="W154">
        <v>9.8000000000000007</v>
      </c>
      <c r="X154">
        <v>6.6</v>
      </c>
      <c r="Y154">
        <v>5</v>
      </c>
      <c r="Z154" s="6">
        <v>54.500000000000007</v>
      </c>
      <c r="AA154" s="6">
        <v>6.8835899999999999</v>
      </c>
      <c r="AB154" s="6">
        <f>Anthropometry[[#This Row],[Upper arm girth - R]]-(PI()*(Anthropometry[[#This Row],[Triceps]]/10))</f>
        <v>29.957964775166634</v>
      </c>
      <c r="AC154" s="6">
        <f>Anthropometry[[#This Row],[Mid-thighs]]-PI()*(Anthropometry[[#This Row],[Thigh]]/10)</f>
        <v>56.926548848630738</v>
      </c>
      <c r="AD154" s="6">
        <f>Anthropometry[[#This Row],[Mid-calf]]-PI()*(Anthropometry[[#This Row],[Calf]]/10)</f>
        <v>38.929203673205102</v>
      </c>
      <c r="AE154" s="6"/>
      <c r="AF154" s="6"/>
    </row>
    <row r="155" spans="1:39" ht="14.45">
      <c r="A155" t="s">
        <v>44</v>
      </c>
      <c r="B155" s="12">
        <v>43084</v>
      </c>
      <c r="C155" s="14">
        <v>0.41666666666666669</v>
      </c>
      <c r="D155">
        <v>171.1</v>
      </c>
      <c r="E155">
        <v>63.8</v>
      </c>
      <c r="F155" s="6">
        <v>21.793182696212941</v>
      </c>
      <c r="G155" s="6">
        <v>54.681601920000006</v>
      </c>
      <c r="H155" s="6">
        <v>9.1183980800000004</v>
      </c>
      <c r="I155">
        <v>44.3</v>
      </c>
      <c r="J155">
        <v>84.5</v>
      </c>
      <c r="K155">
        <v>26.7</v>
      </c>
      <c r="M155">
        <v>95.5</v>
      </c>
      <c r="N155">
        <v>51.8</v>
      </c>
      <c r="O155" s="6">
        <v>121.09699999999999</v>
      </c>
      <c r="P155">
        <v>42.3</v>
      </c>
      <c r="Q155">
        <v>34.799999999999997</v>
      </c>
      <c r="R155">
        <v>13.4</v>
      </c>
      <c r="S155">
        <v>7.5</v>
      </c>
      <c r="T155">
        <v>6</v>
      </c>
      <c r="U155">
        <v>9.1999999999999993</v>
      </c>
      <c r="V155">
        <v>5.4</v>
      </c>
      <c r="W155">
        <v>10.4</v>
      </c>
      <c r="X155">
        <v>19.3</v>
      </c>
      <c r="Y155">
        <v>13.2</v>
      </c>
      <c r="Z155">
        <v>84.399999999999991</v>
      </c>
      <c r="AA155" s="6">
        <v>14.292160000000001</v>
      </c>
      <c r="AB155" s="6">
        <f>Anthropometry[[#This Row],[Upper arm girth - R]]-(PI()*(Anthropometry[[#This Row],[Triceps]]/10))</f>
        <v>22.490265844189675</v>
      </c>
      <c r="AC155" s="6">
        <f>Anthropometry[[#This Row],[Mid-thighs]]-PI()*(Anthropometry[[#This Row],[Thigh]]/10)</f>
        <v>45.736726178571693</v>
      </c>
      <c r="AD155" s="6">
        <f>Anthropometry[[#This Row],[Mid-calf]]-PI()*(Anthropometry[[#This Row],[Calf]]/10)</f>
        <v>30.653097697261472</v>
      </c>
      <c r="AE155" s="6"/>
      <c r="AF155" s="6"/>
    </row>
    <row r="156" spans="1:39" ht="14.45">
      <c r="A156" t="s">
        <v>42</v>
      </c>
      <c r="B156" s="12">
        <v>43087</v>
      </c>
      <c r="C156" s="14">
        <v>0.4375</v>
      </c>
      <c r="D156">
        <v>167.5</v>
      </c>
      <c r="E156">
        <v>69.7</v>
      </c>
      <c r="F156" s="6">
        <v>20.805970149253731</v>
      </c>
      <c r="G156" s="6">
        <v>60.95758476000001</v>
      </c>
      <c r="H156" s="6">
        <v>8.7424152399999997</v>
      </c>
      <c r="I156">
        <v>44.8</v>
      </c>
      <c r="J156">
        <v>83.6</v>
      </c>
      <c r="K156">
        <v>28.5</v>
      </c>
      <c r="M156">
        <v>99</v>
      </c>
      <c r="N156">
        <v>55</v>
      </c>
      <c r="O156" s="6">
        <v>149.24</v>
      </c>
      <c r="P156">
        <v>46</v>
      </c>
      <c r="Q156">
        <v>37.799999999999997</v>
      </c>
      <c r="R156">
        <v>10.6</v>
      </c>
      <c r="S156">
        <v>7.6</v>
      </c>
      <c r="T156">
        <v>4.5999999999999996</v>
      </c>
      <c r="U156">
        <v>10.5</v>
      </c>
      <c r="V156">
        <v>6.6</v>
      </c>
      <c r="W156">
        <v>9.5</v>
      </c>
      <c r="X156">
        <v>13</v>
      </c>
      <c r="Y156">
        <v>10.6</v>
      </c>
      <c r="Z156">
        <v>73</v>
      </c>
      <c r="AA156" s="6">
        <v>12.542919999999999</v>
      </c>
      <c r="AB156" s="6">
        <f>Anthropometry[[#This Row],[Upper arm girth - R]]-(PI()*(Anthropometry[[#This Row],[Triceps]]/10))</f>
        <v>25.16991178719482</v>
      </c>
      <c r="AC156" s="6">
        <f>Anthropometry[[#This Row],[Mid-thighs]]-PI()*(Anthropometry[[#This Row],[Thigh]]/10)</f>
        <v>50.915929550333267</v>
      </c>
      <c r="AD156" s="6">
        <f>Anthropometry[[#This Row],[Mid-calf]]-PI()*(Anthropometry[[#This Row],[Calf]]/10)</f>
        <v>34.469911787194818</v>
      </c>
      <c r="AE156" s="6"/>
      <c r="AF156" s="6"/>
    </row>
    <row r="157" spans="1:39" ht="14.45">
      <c r="A157" t="s">
        <v>43</v>
      </c>
      <c r="B157" s="12">
        <v>44946</v>
      </c>
      <c r="C157" s="14">
        <v>0.31944444444444448</v>
      </c>
      <c r="D157" s="6">
        <v>176.7</v>
      </c>
      <c r="E157">
        <v>82.5</v>
      </c>
      <c r="F157" s="6">
        <f>(E157/((D157/100)*(D157/100)))</f>
        <v>26.422922413652294</v>
      </c>
      <c r="G157" s="13">
        <f>E157/100*(100-AA157)</f>
        <v>68.984882999999996</v>
      </c>
      <c r="H157" s="6">
        <f>E157/100*AA157</f>
        <v>13.515116999999998</v>
      </c>
      <c r="K157">
        <v>31.1</v>
      </c>
      <c r="M157">
        <v>109.8</v>
      </c>
      <c r="N157">
        <v>61.8</v>
      </c>
      <c r="O157" s="6">
        <f>(((4.68*N157)-(2.09*X157))-80.99)</f>
        <v>161.209</v>
      </c>
      <c r="P157">
        <v>47.2</v>
      </c>
      <c r="Q157">
        <v>40.5</v>
      </c>
      <c r="R157">
        <v>13.4</v>
      </c>
      <c r="S157">
        <v>10.8</v>
      </c>
      <c r="T157">
        <v>5</v>
      </c>
      <c r="U157">
        <v>13.6</v>
      </c>
      <c r="V157">
        <v>7</v>
      </c>
      <c r="W157">
        <v>17.899999999999999</v>
      </c>
      <c r="X157">
        <v>22.5</v>
      </c>
      <c r="Y157">
        <v>11.1</v>
      </c>
      <c r="Z157">
        <f>SUM(R157:Y157)</f>
        <v>101.3</v>
      </c>
      <c r="AA157" s="6">
        <f>((0.1548*SUM(R157:S157,V157:Y157))+3.58)</f>
        <v>16.381959999999999</v>
      </c>
      <c r="AB157" s="6">
        <f>Anthropometry[[#This Row],[Upper arm girth - R]]-(PI()*(Anthropometry[[#This Row],[Triceps]]/10))</f>
        <v>26.890265844189678</v>
      </c>
      <c r="AC157" s="6">
        <f>Anthropometry[[#This Row],[Mid-thighs]]-PI()*(Anthropometry[[#This Row],[Thigh]]/10)</f>
        <v>54.731416529422965</v>
      </c>
      <c r="AD157" s="6">
        <f>Anthropometry[[#This Row],[Mid-calf]]-PI()*(Anthropometry[[#This Row],[Calf]]/10)</f>
        <v>37.01283215451533</v>
      </c>
      <c r="AE157" s="6"/>
      <c r="AF157" s="6"/>
    </row>
    <row r="158" spans="1:39" ht="14.45">
      <c r="A158" t="s">
        <v>45</v>
      </c>
      <c r="B158" s="12">
        <v>43111</v>
      </c>
      <c r="C158" s="14">
        <v>0.41666666666666669</v>
      </c>
      <c r="D158" s="6">
        <v>175.7</v>
      </c>
      <c r="E158">
        <v>77</v>
      </c>
      <c r="G158" s="6">
        <f>E158/100*(100-AA158)</f>
        <v>70.744697099999996</v>
      </c>
      <c r="H158" s="6">
        <f>E158/100*AA158</f>
        <v>6.2553029000000002</v>
      </c>
      <c r="J158">
        <v>89.5</v>
      </c>
      <c r="K158">
        <v>28.2</v>
      </c>
      <c r="M158">
        <v>96.5</v>
      </c>
      <c r="N158">
        <v>56.5</v>
      </c>
      <c r="O158" s="6">
        <f>(((4.68*N158)-(2.09*X158))-80.99)</f>
        <v>159.18599999999998</v>
      </c>
      <c r="P158">
        <v>45.5</v>
      </c>
      <c r="Q158">
        <v>38.5</v>
      </c>
      <c r="R158">
        <v>6.8</v>
      </c>
      <c r="S158">
        <v>9.8000000000000007</v>
      </c>
      <c r="T158">
        <v>3.1</v>
      </c>
      <c r="U158">
        <v>10.5</v>
      </c>
      <c r="V158">
        <v>6.2</v>
      </c>
      <c r="W158">
        <v>14.5</v>
      </c>
      <c r="X158">
        <v>11.6</v>
      </c>
      <c r="Y158">
        <v>3.8</v>
      </c>
      <c r="Z158">
        <f>SUM(R158:Y158)</f>
        <v>66.300000000000011</v>
      </c>
      <c r="AA158" s="6">
        <f>((0.1051*SUM(R158:S158,V158:Y158))+2.585)</f>
        <v>8.1237700000000004</v>
      </c>
      <c r="AB158" s="6">
        <f>Anthropometry[[#This Row],[Upper arm girth - R]]-(PI()*(Anthropometry[[#This Row],[Triceps]]/10))</f>
        <v>26.063716995558941</v>
      </c>
      <c r="AC158" s="6">
        <f>Anthropometry[[#This Row],[Mid-thighs]]-PI()*(Anthropometry[[#This Row],[Thigh]]/10)</f>
        <v>52.855752521835839</v>
      </c>
      <c r="AD158" s="6">
        <f>Anthropometry[[#This Row],[Mid-calf]]-PI()*(Anthropometry[[#This Row],[Calf]]/10)</f>
        <v>37.306194791635882</v>
      </c>
      <c r="AE158" s="6"/>
      <c r="AF158" s="6"/>
    </row>
    <row r="159" spans="1:39" ht="14.45">
      <c r="A159" t="s">
        <v>39</v>
      </c>
      <c r="B159" s="12">
        <v>43111</v>
      </c>
      <c r="C159" s="14">
        <v>0.375</v>
      </c>
      <c r="D159">
        <v>180.1</v>
      </c>
      <c r="E159">
        <v>83.3</v>
      </c>
      <c r="G159" s="6">
        <v>77.600988849999993</v>
      </c>
      <c r="H159" s="6">
        <v>5.6990111499999996</v>
      </c>
      <c r="J159">
        <v>93.7</v>
      </c>
      <c r="K159">
        <v>30.3</v>
      </c>
      <c r="M159">
        <v>97.8</v>
      </c>
      <c r="N159">
        <v>58.5</v>
      </c>
      <c r="O159" s="6">
        <v>178.15999999999997</v>
      </c>
      <c r="P159">
        <v>48.2</v>
      </c>
      <c r="Q159">
        <v>39.799999999999997</v>
      </c>
      <c r="R159">
        <v>6.2</v>
      </c>
      <c r="S159">
        <v>7.8</v>
      </c>
      <c r="T159">
        <v>3.5</v>
      </c>
      <c r="U159">
        <v>9.6</v>
      </c>
      <c r="V159">
        <v>5.2</v>
      </c>
      <c r="W159">
        <v>9.6999999999999993</v>
      </c>
      <c r="X159">
        <v>7</v>
      </c>
      <c r="Y159">
        <v>4.5999999999999996</v>
      </c>
      <c r="Z159" s="6">
        <v>53.6</v>
      </c>
      <c r="AA159" s="6">
        <v>6.8415499999999998</v>
      </c>
      <c r="AB159" s="6">
        <f>Anthropometry[[#This Row],[Upper arm girth - R]]-(PI()*(Anthropometry[[#This Row],[Triceps]]/10))</f>
        <v>28.352212554774329</v>
      </c>
      <c r="AC159" s="6">
        <f>Anthropometry[[#This Row],[Mid-thighs]]-PI()*(Anthropometry[[#This Row],[Thigh]]/10)</f>
        <v>56.300885142487147</v>
      </c>
      <c r="AD159" s="6">
        <f>Anthropometry[[#This Row],[Mid-calf]]-PI()*(Anthropometry[[#This Row],[Calf]]/10)</f>
        <v>38.35486737934869</v>
      </c>
      <c r="AE159" s="6"/>
      <c r="AF159" s="6"/>
    </row>
    <row r="160" spans="1:39" ht="14.45">
      <c r="A160" t="s">
        <v>41</v>
      </c>
      <c r="B160" s="12">
        <v>43111</v>
      </c>
      <c r="C160" s="14">
        <v>0.40625</v>
      </c>
      <c r="D160">
        <v>176.3</v>
      </c>
      <c r="E160">
        <v>85.5</v>
      </c>
      <c r="G160" s="6">
        <v>79.964986500000009</v>
      </c>
      <c r="H160" s="6">
        <v>5.5350134999999998</v>
      </c>
      <c r="J160">
        <v>99.2</v>
      </c>
      <c r="K160">
        <v>31.5</v>
      </c>
      <c r="M160">
        <v>98.7</v>
      </c>
      <c r="N160">
        <v>59.5</v>
      </c>
      <c r="O160" s="6">
        <v>186.18399999999997</v>
      </c>
      <c r="P160">
        <v>46.5</v>
      </c>
      <c r="Q160">
        <v>38</v>
      </c>
      <c r="R160">
        <v>6.8</v>
      </c>
      <c r="S160">
        <v>7.8</v>
      </c>
      <c r="T160">
        <v>3.3</v>
      </c>
      <c r="U160">
        <v>8.4</v>
      </c>
      <c r="V160">
        <v>4.5999999999999996</v>
      </c>
      <c r="W160">
        <v>8.4</v>
      </c>
      <c r="X160">
        <v>5.4</v>
      </c>
      <c r="Y160">
        <v>4</v>
      </c>
      <c r="Z160">
        <v>48.699999999999996</v>
      </c>
      <c r="AA160" s="6">
        <v>6.4737</v>
      </c>
      <c r="AB160" s="6">
        <f>Anthropometry[[#This Row],[Upper arm girth - R]]-(PI()*(Anthropometry[[#This Row],[Triceps]]/10))</f>
        <v>29.363716995558942</v>
      </c>
      <c r="AC160" s="6">
        <f>Anthropometry[[#This Row],[Mid-thighs]]-PI()*(Anthropometry[[#This Row],[Thigh]]/10)</f>
        <v>57.803539967061511</v>
      </c>
      <c r="AD160" s="6">
        <f>Anthropometry[[#This Row],[Mid-calf]]-PI()*(Anthropometry[[#This Row],[Calf]]/10)</f>
        <v>36.743362938564083</v>
      </c>
      <c r="AE160" s="6"/>
      <c r="AF160" s="6"/>
    </row>
    <row r="161" spans="1:39" ht="14.45">
      <c r="A161" t="s">
        <v>42</v>
      </c>
      <c r="B161" s="12">
        <v>43111</v>
      </c>
      <c r="C161" s="14">
        <v>0.45833333333333331</v>
      </c>
      <c r="D161">
        <v>167.5</v>
      </c>
      <c r="E161">
        <v>68.400000000000006</v>
      </c>
      <c r="F161" s="6">
        <v>20.417910447761194</v>
      </c>
      <c r="G161" s="6">
        <v>60.000644160000007</v>
      </c>
      <c r="H161" s="6">
        <v>8.3993558400000001</v>
      </c>
      <c r="J161">
        <v>82</v>
      </c>
      <c r="K161">
        <v>27.5</v>
      </c>
      <c r="M161">
        <v>98.5</v>
      </c>
      <c r="N161">
        <v>55</v>
      </c>
      <c r="O161" s="6">
        <v>151.74799999999999</v>
      </c>
      <c r="P161">
        <v>45</v>
      </c>
      <c r="Q161">
        <v>37</v>
      </c>
      <c r="R161">
        <v>10.6</v>
      </c>
      <c r="S161">
        <v>8</v>
      </c>
      <c r="T161">
        <v>4.8</v>
      </c>
      <c r="U161">
        <v>8.1999999999999993</v>
      </c>
      <c r="V161">
        <v>5.7</v>
      </c>
      <c r="W161">
        <v>9.6</v>
      </c>
      <c r="X161">
        <v>11.8</v>
      </c>
      <c r="Y161">
        <v>10.5</v>
      </c>
      <c r="Z161">
        <v>69.2</v>
      </c>
      <c r="AA161" s="6">
        <v>12.27976</v>
      </c>
      <c r="AB161" s="6">
        <f>Anthropometry[[#This Row],[Upper arm girth - R]]-(PI()*(Anthropometry[[#This Row],[Triceps]]/10))</f>
        <v>24.16991178719482</v>
      </c>
      <c r="AC161" s="6">
        <f>Anthropometry[[#This Row],[Mid-thighs]]-PI()*(Anthropometry[[#This Row],[Thigh]]/10)</f>
        <v>51.29292066876404</v>
      </c>
      <c r="AD161" s="6">
        <f>Anthropometry[[#This Row],[Mid-calf]]-PI()*(Anthropometry[[#This Row],[Calf]]/10)</f>
        <v>33.70132771373072</v>
      </c>
      <c r="AE161" s="6"/>
      <c r="AF161" s="6"/>
    </row>
    <row r="162" spans="1:39" ht="14.45">
      <c r="A162" t="s">
        <v>43</v>
      </c>
      <c r="B162" s="12">
        <v>45064</v>
      </c>
      <c r="C162" s="14">
        <v>0.33333333333333331</v>
      </c>
      <c r="D162" s="6">
        <v>177.1</v>
      </c>
      <c r="E162">
        <v>80.099999999999994</v>
      </c>
      <c r="F162" s="6">
        <f>(E162/((D162/100)*(D162/100)))</f>
        <v>25.538500485103977</v>
      </c>
      <c r="G162" s="13">
        <f>E162/100*(100-AA162)</f>
        <v>67.622822999999997</v>
      </c>
      <c r="H162" s="6">
        <f>E162/100*AA162</f>
        <v>12.477176999999999</v>
      </c>
      <c r="K162">
        <v>31</v>
      </c>
      <c r="L162" s="29">
        <v>84.4</v>
      </c>
      <c r="M162">
        <v>108.6</v>
      </c>
      <c r="N162">
        <v>58.9</v>
      </c>
      <c r="O162" s="6">
        <f>(((4.68*N162)-(2.09*X162))-80.99)</f>
        <v>148.26400000000001</v>
      </c>
      <c r="Q162">
        <v>39.9</v>
      </c>
      <c r="R162">
        <v>15.2</v>
      </c>
      <c r="S162">
        <v>8.6999999999999993</v>
      </c>
      <c r="T162">
        <v>4.9000000000000004</v>
      </c>
      <c r="U162">
        <v>12.6</v>
      </c>
      <c r="V162">
        <v>6.7</v>
      </c>
      <c r="W162">
        <v>14.4</v>
      </c>
      <c r="X162">
        <v>22.2</v>
      </c>
      <c r="Y162">
        <v>10.3</v>
      </c>
      <c r="Z162">
        <f>SUM(R162:Y162)</f>
        <v>95</v>
      </c>
      <c r="AA162" s="6">
        <f>((0.1548*SUM(R162:S162,V162:Y162))+3.58)</f>
        <v>15.577</v>
      </c>
      <c r="AB162" s="6">
        <f>Anthropometry[[#This Row],[Upper arm girth - R]]-(PI()*(Anthropometry[[#This Row],[Triceps]]/10))</f>
        <v>26.224779166543513</v>
      </c>
      <c r="AC162" s="6">
        <f>Anthropometry[[#This Row],[Mid-thighs]]-PI()*(Anthropometry[[#This Row],[Thigh]]/10)</f>
        <v>51.925664309030658</v>
      </c>
      <c r="AD162" s="6">
        <f>Anthropometry[[#This Row],[Mid-calf]]-PI()*(Anthropometry[[#This Row],[Calf]]/10)</f>
        <v>36.66415956680251</v>
      </c>
      <c r="AE162" s="6"/>
      <c r="AF162" s="6"/>
      <c r="AG162">
        <v>77.3</v>
      </c>
      <c r="AH162">
        <v>18.7</v>
      </c>
      <c r="AI162">
        <v>62.2</v>
      </c>
      <c r="AJ162">
        <v>15</v>
      </c>
      <c r="AK162">
        <v>24.2</v>
      </c>
      <c r="AL162">
        <v>10.8</v>
      </c>
      <c r="AM162">
        <v>35</v>
      </c>
    </row>
    <row r="163" spans="1:39" ht="14.45">
      <c r="A163" t="s">
        <v>40</v>
      </c>
      <c r="B163" s="12">
        <v>43111</v>
      </c>
      <c r="C163" s="14">
        <v>0.38541666666666669</v>
      </c>
      <c r="D163" s="6">
        <v>182.8</v>
      </c>
      <c r="E163">
        <v>83.8</v>
      </c>
      <c r="G163" s="6">
        <v>77.617604719999989</v>
      </c>
      <c r="H163" s="6">
        <v>6.1823952799999997</v>
      </c>
      <c r="J163">
        <v>93.2</v>
      </c>
      <c r="K163">
        <v>31.1</v>
      </c>
      <c r="M163">
        <v>101.4</v>
      </c>
      <c r="N163">
        <v>57</v>
      </c>
      <c r="O163" s="6">
        <v>173.64800000000002</v>
      </c>
      <c r="P163">
        <v>46.4</v>
      </c>
      <c r="Q163">
        <v>35.299999999999997</v>
      </c>
      <c r="R163">
        <v>5.2</v>
      </c>
      <c r="S163">
        <v>10.5</v>
      </c>
      <c r="T163">
        <v>3</v>
      </c>
      <c r="U163">
        <v>8.5</v>
      </c>
      <c r="V163">
        <v>5.3</v>
      </c>
      <c r="W163">
        <v>14.6</v>
      </c>
      <c r="X163">
        <v>5.8</v>
      </c>
      <c r="Y163">
        <v>4.2</v>
      </c>
      <c r="Z163">
        <v>57.1</v>
      </c>
      <c r="AA163" s="6">
        <v>7.3775599999999999</v>
      </c>
      <c r="AB163" s="6">
        <f>Anthropometry[[#This Row],[Upper arm girth - R]]-(PI()*(Anthropometry[[#This Row],[Triceps]]/10))</f>
        <v>29.466371820133308</v>
      </c>
      <c r="AC163" s="6">
        <f>Anthropometry[[#This Row],[Mid-thighs]]-PI()*(Anthropometry[[#This Row],[Thigh]]/10)</f>
        <v>55.17787626091792</v>
      </c>
      <c r="AD163" s="6">
        <f>Anthropometry[[#This Row],[Mid-calf]]-PI()*(Anthropometry[[#This Row],[Calf]]/10)</f>
        <v>33.980531085492281</v>
      </c>
      <c r="AE163" s="6"/>
      <c r="AF163" s="6"/>
    </row>
    <row r="164" spans="1:39" ht="14.45">
      <c r="A164" t="s">
        <v>44</v>
      </c>
      <c r="B164" s="12">
        <v>43112</v>
      </c>
      <c r="C164" s="14">
        <v>0.4375</v>
      </c>
      <c r="D164">
        <v>171.1</v>
      </c>
      <c r="E164">
        <v>64</v>
      </c>
      <c r="F164" s="6">
        <v>21.861499883348404</v>
      </c>
      <c r="G164" s="6">
        <v>54.694502400000005</v>
      </c>
      <c r="H164" s="6">
        <v>9.3054976000000007</v>
      </c>
      <c r="J164">
        <v>85</v>
      </c>
      <c r="K164">
        <v>27.5</v>
      </c>
      <c r="M164">
        <v>94</v>
      </c>
      <c r="N164">
        <v>52.2</v>
      </c>
      <c r="O164" s="6">
        <v>121.50599999999999</v>
      </c>
      <c r="P164">
        <v>43</v>
      </c>
      <c r="Q164">
        <v>34.799999999999997</v>
      </c>
      <c r="R164">
        <v>15.8</v>
      </c>
      <c r="S164">
        <v>7.6</v>
      </c>
      <c r="T164">
        <v>4.5</v>
      </c>
      <c r="U164">
        <v>10.8</v>
      </c>
      <c r="V164">
        <v>5.8</v>
      </c>
      <c r="W164">
        <v>9.4</v>
      </c>
      <c r="X164">
        <v>20</v>
      </c>
      <c r="Y164">
        <v>12.2</v>
      </c>
      <c r="Z164">
        <v>86.100000000000009</v>
      </c>
      <c r="AA164" s="6">
        <v>14.53984</v>
      </c>
      <c r="AB164" s="6">
        <f>Anthropometry[[#This Row],[Upper arm girth - R]]-(PI()*(Anthropometry[[#This Row],[Triceps]]/10))</f>
        <v>22.536283607328127</v>
      </c>
      <c r="AC164" s="6">
        <f>Anthropometry[[#This Row],[Mid-thighs]]-PI()*(Anthropometry[[#This Row],[Thigh]]/10)</f>
        <v>45.916814692820417</v>
      </c>
      <c r="AD164" s="6">
        <f>Anthropometry[[#This Row],[Mid-calf]]-PI()*(Anthropometry[[#This Row],[Calf]]/10)</f>
        <v>30.96725696262045</v>
      </c>
      <c r="AE164" s="6"/>
      <c r="AF164" s="6"/>
    </row>
    <row r="165" spans="1:39" ht="14.45">
      <c r="A165" t="s">
        <v>42</v>
      </c>
      <c r="B165" s="12">
        <v>43143</v>
      </c>
      <c r="C165" s="14">
        <v>0.39583333333333331</v>
      </c>
      <c r="D165">
        <v>167.5</v>
      </c>
      <c r="E165">
        <v>67.900000000000006</v>
      </c>
      <c r="F165" s="6">
        <v>20.268656716417912</v>
      </c>
      <c r="G165" s="6">
        <v>59.824815960000009</v>
      </c>
      <c r="H165" s="6">
        <v>8.0751840400000017</v>
      </c>
      <c r="K165">
        <v>28.2</v>
      </c>
      <c r="N165">
        <v>56</v>
      </c>
      <c r="O165" s="6">
        <v>157.68200000000002</v>
      </c>
      <c r="P165">
        <v>45.5</v>
      </c>
      <c r="R165">
        <v>10</v>
      </c>
      <c r="S165">
        <v>7.6</v>
      </c>
      <c r="T165">
        <v>4.5999999999999996</v>
      </c>
      <c r="U165">
        <v>8.8000000000000007</v>
      </c>
      <c r="V165">
        <v>6.3</v>
      </c>
      <c r="W165">
        <v>8.5</v>
      </c>
      <c r="X165">
        <v>11.2</v>
      </c>
      <c r="Y165">
        <v>10.1</v>
      </c>
      <c r="Z165">
        <v>67.099999999999994</v>
      </c>
      <c r="AA165" s="6">
        <v>11.892760000000001</v>
      </c>
      <c r="AB165" s="6">
        <f>Anthropometry[[#This Row],[Upper arm girth - R]]-(PI()*(Anthropometry[[#This Row],[Triceps]]/10))</f>
        <v>25.058407346410206</v>
      </c>
      <c r="AC165" s="6">
        <f>Anthropometry[[#This Row],[Mid-thighs]]-PI()*(Anthropometry[[#This Row],[Thigh]]/10)</f>
        <v>52.48141622797943</v>
      </c>
      <c r="AD165" s="6">
        <f>Anthropometry[[#This Row],[Mid-calf]]-PI()*(Anthropometry[[#This Row],[Calf]]/10)</f>
        <v>-3.1730085801256909</v>
      </c>
      <c r="AE165" s="6"/>
      <c r="AF165" s="6"/>
    </row>
    <row r="166" spans="1:39" ht="14.45">
      <c r="A166" t="s">
        <v>43</v>
      </c>
      <c r="B166" s="12">
        <v>45183</v>
      </c>
      <c r="C166" s="14">
        <v>0.33333333333333331</v>
      </c>
      <c r="D166" s="6">
        <v>177</v>
      </c>
      <c r="E166">
        <v>78.2</v>
      </c>
      <c r="F166" s="6">
        <f>(E166/((D166/100)*(D166/100)))</f>
        <v>24.960898847712979</v>
      </c>
      <c r="G166" s="13">
        <f>E166/100*(100-AA166)</f>
        <v>67.616693520000013</v>
      </c>
      <c r="H166" s="6">
        <f>E166/100*AA166</f>
        <v>10.583306479999999</v>
      </c>
      <c r="K166">
        <v>30.6</v>
      </c>
      <c r="L166">
        <v>77.5</v>
      </c>
      <c r="M166">
        <v>107.5</v>
      </c>
      <c r="N166">
        <v>56.4</v>
      </c>
      <c r="O166" s="6">
        <f>(((4.68*N166)-(2.09*X166))-80.99)</f>
        <v>150.77600000000001</v>
      </c>
      <c r="Q166">
        <v>39.4</v>
      </c>
      <c r="R166">
        <v>13.2</v>
      </c>
      <c r="S166">
        <v>9.5</v>
      </c>
      <c r="T166">
        <v>3.9</v>
      </c>
      <c r="U166">
        <v>11.8</v>
      </c>
      <c r="V166">
        <v>6.3</v>
      </c>
      <c r="W166">
        <v>10.3</v>
      </c>
      <c r="X166">
        <v>15.4</v>
      </c>
      <c r="Y166">
        <v>9.6</v>
      </c>
      <c r="Z166">
        <f>SUM(R166:Y166)</f>
        <v>80</v>
      </c>
      <c r="AA166" s="6">
        <f>((0.1548*SUM(R166:S166,V166:Y166))+3.58)</f>
        <v>13.533639999999998</v>
      </c>
      <c r="AB166" s="6">
        <f>Anthropometry[[#This Row],[Upper arm girth - R]]-(PI()*(Anthropometry[[#This Row],[Triceps]]/10))</f>
        <v>26.453097697261477</v>
      </c>
      <c r="AC166" s="6">
        <f>Anthropometry[[#This Row],[Mid-thighs]]-PI()*(Anthropometry[[#This Row],[Thigh]]/10)</f>
        <v>51.56194731347172</v>
      </c>
      <c r="AD166" s="6">
        <f>Anthropometry[[#This Row],[Mid-calf]]-PI()*(Anthropometry[[#This Row],[Calf]]/10)</f>
        <v>36.3840710525538</v>
      </c>
      <c r="AE166" s="6"/>
      <c r="AF166" s="6"/>
      <c r="AG166">
        <v>77.599999999999994</v>
      </c>
      <c r="AH166">
        <v>18.399999999999999</v>
      </c>
      <c r="AI166">
        <v>61.1</v>
      </c>
      <c r="AJ166">
        <v>14.5</v>
      </c>
      <c r="AK166">
        <v>23.7</v>
      </c>
      <c r="AL166">
        <v>9.5</v>
      </c>
      <c r="AM166">
        <f>SUM(Anthropometry[[#This Row],[ DEXA LLM (kg)]]+Anthropometry[[#This Row],[DEXA Pelvis (kg)]])</f>
        <v>33.200000000000003</v>
      </c>
    </row>
    <row r="167" spans="1:39" ht="14.45">
      <c r="A167" t="s">
        <v>45</v>
      </c>
      <c r="B167" s="12">
        <v>43174</v>
      </c>
      <c r="C167" s="14">
        <v>0.3923611111111111</v>
      </c>
      <c r="D167" s="6">
        <v>175.7</v>
      </c>
      <c r="E167">
        <v>75</v>
      </c>
      <c r="G167" s="6">
        <f>E167/100*(100-AA167)</f>
        <v>69.640245000000007</v>
      </c>
      <c r="H167" s="6">
        <f>E167/100*AA167</f>
        <v>5.3597549999999998</v>
      </c>
      <c r="J167">
        <v>88.8</v>
      </c>
      <c r="K167">
        <v>28</v>
      </c>
      <c r="M167">
        <v>96</v>
      </c>
      <c r="N167">
        <v>55.5</v>
      </c>
      <c r="O167" s="6">
        <f>(((4.68*N167)-(2.09*X167))-80.99)</f>
        <v>157.85000000000002</v>
      </c>
      <c r="P167">
        <v>44</v>
      </c>
      <c r="Q167">
        <v>38</v>
      </c>
      <c r="R167">
        <v>5.8</v>
      </c>
      <c r="S167">
        <v>8.8000000000000007</v>
      </c>
      <c r="T167">
        <v>3.1</v>
      </c>
      <c r="U167">
        <v>8.1999999999999993</v>
      </c>
      <c r="V167">
        <v>5</v>
      </c>
      <c r="W167">
        <v>10</v>
      </c>
      <c r="X167">
        <v>10</v>
      </c>
      <c r="Y167">
        <v>3.8</v>
      </c>
      <c r="Z167">
        <f>SUM(R167:Y167)</f>
        <v>54.7</v>
      </c>
      <c r="AA167" s="6">
        <f>((0.1051*SUM(R167:S167,V167:Y167))+2.585)</f>
        <v>7.1463399999999995</v>
      </c>
      <c r="AB167" s="6">
        <f>Anthropometry[[#This Row],[Upper arm girth - R]]-(PI()*(Anthropometry[[#This Row],[Triceps]]/10))</f>
        <v>26.17787626091792</v>
      </c>
      <c r="AC167" s="6">
        <f>Anthropometry[[#This Row],[Mid-thighs]]-PI()*(Anthropometry[[#This Row],[Thigh]]/10)</f>
        <v>52.358407346410203</v>
      </c>
      <c r="AD167" s="6">
        <f>Anthropometry[[#This Row],[Mid-calf]]-PI()*(Anthropometry[[#This Row],[Calf]]/10)</f>
        <v>36.806194791635882</v>
      </c>
      <c r="AE167" s="6"/>
      <c r="AF167" s="6"/>
    </row>
    <row r="168" spans="1:39" ht="14.45">
      <c r="A168" t="s">
        <v>44</v>
      </c>
      <c r="B168" s="12">
        <v>43174</v>
      </c>
      <c r="C168" s="14">
        <v>0.36805555555555558</v>
      </c>
      <c r="D168">
        <v>170.1</v>
      </c>
      <c r="E168">
        <v>63.2</v>
      </c>
      <c r="F168" s="6">
        <v>21.842807132506007</v>
      </c>
      <c r="G168" s="6">
        <v>54.998940480000002</v>
      </c>
      <c r="H168" s="6">
        <v>8.2010595200000012</v>
      </c>
      <c r="K168">
        <v>26</v>
      </c>
      <c r="M168">
        <v>95.5</v>
      </c>
      <c r="N168">
        <v>52.5</v>
      </c>
      <c r="O168" s="6">
        <v>131.89699999999999</v>
      </c>
      <c r="P168">
        <v>43.2</v>
      </c>
      <c r="Q168">
        <v>34</v>
      </c>
      <c r="R168">
        <v>12.8</v>
      </c>
      <c r="S168">
        <v>7</v>
      </c>
      <c r="T168">
        <v>4</v>
      </c>
      <c r="U168">
        <v>9.4</v>
      </c>
      <c r="V168">
        <v>5.4</v>
      </c>
      <c r="W168">
        <v>8.1999999999999993</v>
      </c>
      <c r="X168">
        <v>15.7</v>
      </c>
      <c r="Y168">
        <v>11.6</v>
      </c>
      <c r="Z168">
        <v>74.099999999999994</v>
      </c>
      <c r="AA168" s="6">
        <v>12.976360000000001</v>
      </c>
      <c r="AB168" s="6">
        <f>Anthropometry[[#This Row],[Upper arm girth - R]]-(PI()*(Anthropometry[[#This Row],[Triceps]]/10))</f>
        <v>21.978761403405066</v>
      </c>
      <c r="AC168" s="6">
        <f>Anthropometry[[#This Row],[Mid-thighs]]-PI()*(Anthropometry[[#This Row],[Thigh]]/10)</f>
        <v>47.567699533864022</v>
      </c>
      <c r="AD168" s="6">
        <f>Anthropometry[[#This Row],[Mid-calf]]-PI()*(Anthropometry[[#This Row],[Calf]]/10)</f>
        <v>30.355752521835839</v>
      </c>
      <c r="AE168" s="6"/>
      <c r="AF168" s="6"/>
    </row>
    <row r="169" spans="1:39" ht="14.45">
      <c r="A169" t="s">
        <v>39</v>
      </c>
      <c r="B169" s="12">
        <v>43174</v>
      </c>
      <c r="C169" s="14">
        <v>0.39583333333333331</v>
      </c>
      <c r="D169">
        <v>180.1</v>
      </c>
      <c r="E169">
        <v>85</v>
      </c>
      <c r="G169" s="6">
        <v>79.05068</v>
      </c>
      <c r="H169" s="6">
        <v>5.9493200000000002</v>
      </c>
      <c r="J169">
        <v>94.6</v>
      </c>
      <c r="K169">
        <v>31</v>
      </c>
      <c r="M169">
        <v>99.2</v>
      </c>
      <c r="N169">
        <v>59.3</v>
      </c>
      <c r="O169" s="6">
        <v>182.32199999999995</v>
      </c>
      <c r="P169">
        <v>49.7</v>
      </c>
      <c r="Q169">
        <v>40.6</v>
      </c>
      <c r="R169">
        <v>6.1</v>
      </c>
      <c r="S169">
        <v>8</v>
      </c>
      <c r="T169">
        <v>3.5</v>
      </c>
      <c r="U169">
        <v>12.1</v>
      </c>
      <c r="V169">
        <v>5.8</v>
      </c>
      <c r="W169">
        <v>11.1</v>
      </c>
      <c r="X169">
        <v>6.8</v>
      </c>
      <c r="Y169">
        <v>4.2</v>
      </c>
      <c r="Z169" s="6">
        <v>57.6</v>
      </c>
      <c r="AA169" s="6">
        <v>6.9992000000000001</v>
      </c>
      <c r="AB169" s="6">
        <f>Anthropometry[[#This Row],[Upper arm girth - R]]-(PI()*(Anthropometry[[#This Row],[Triceps]]/10))</f>
        <v>29.083628481310225</v>
      </c>
      <c r="AC169" s="6">
        <f>Anthropometry[[#This Row],[Mid-thighs]]-PI()*(Anthropometry[[#This Row],[Thigh]]/10)</f>
        <v>57.163716995558936</v>
      </c>
      <c r="AD169" s="6">
        <f>Anthropometry[[#This Row],[Mid-calf]]-PI()*(Anthropometry[[#This Row],[Calf]]/10)</f>
        <v>39.280531085492285</v>
      </c>
      <c r="AE169" s="6"/>
      <c r="AF169" s="6"/>
    </row>
    <row r="170" spans="1:39" ht="14.45">
      <c r="A170" t="s">
        <v>42</v>
      </c>
      <c r="B170" s="12">
        <v>43174</v>
      </c>
      <c r="C170" s="14">
        <v>0.375</v>
      </c>
      <c r="D170">
        <v>167.5</v>
      </c>
      <c r="E170">
        <v>67.900000000000006</v>
      </c>
      <c r="F170" s="6">
        <v>20.268656716417912</v>
      </c>
      <c r="G170" s="6">
        <v>59.940436079999998</v>
      </c>
      <c r="H170" s="6">
        <v>7.9595639199999999</v>
      </c>
      <c r="K170">
        <v>28</v>
      </c>
      <c r="M170">
        <v>97.5</v>
      </c>
      <c r="N170">
        <v>55</v>
      </c>
      <c r="O170" s="6">
        <v>154.04699999999997</v>
      </c>
      <c r="P170">
        <v>45.6</v>
      </c>
      <c r="Q170">
        <v>37</v>
      </c>
      <c r="R170" s="6">
        <v>9.4</v>
      </c>
      <c r="S170" s="6">
        <v>7.2</v>
      </c>
      <c r="T170" s="6">
        <v>3.8</v>
      </c>
      <c r="U170" s="6">
        <v>8.3000000000000007</v>
      </c>
      <c r="V170" s="6">
        <v>6</v>
      </c>
      <c r="W170" s="6">
        <v>9.5</v>
      </c>
      <c r="X170" s="6">
        <v>10.7</v>
      </c>
      <c r="Y170" s="6">
        <v>9.8000000000000007</v>
      </c>
      <c r="Z170">
        <v>64.7</v>
      </c>
      <c r="AA170" s="6">
        <v>11.722479999999999</v>
      </c>
      <c r="AB170" s="6">
        <f>Anthropometry[[#This Row],[Upper arm girth - R]]-(PI()*(Anthropometry[[#This Row],[Triceps]]/10))</f>
        <v>25.046902905625593</v>
      </c>
      <c r="AC170" s="6">
        <f>Anthropometry[[#This Row],[Mid-thighs]]-PI()*(Anthropometry[[#This Row],[Thigh]]/10)</f>
        <v>51.638495860658921</v>
      </c>
      <c r="AD170" s="6">
        <f>Anthropometry[[#This Row],[Mid-calf]]-PI()*(Anthropometry[[#This Row],[Calf]]/10)</f>
        <v>33.921239199482002</v>
      </c>
      <c r="AE170" s="6"/>
      <c r="AF170" s="6"/>
    </row>
    <row r="171" spans="1:39" ht="14.45">
      <c r="A171" t="s">
        <v>43</v>
      </c>
      <c r="B171" s="12">
        <v>45253</v>
      </c>
      <c r="C171" s="14">
        <v>0.33333333333333331</v>
      </c>
      <c r="D171" s="6">
        <v>176.2</v>
      </c>
      <c r="E171">
        <v>81.099999999999994</v>
      </c>
      <c r="F171" s="6">
        <f>(E171/((D171/100)*(D171/100)))</f>
        <v>26.122157645127757</v>
      </c>
      <c r="G171" s="13">
        <f>E171/100*(100-AA171)</f>
        <v>69.747589559999994</v>
      </c>
      <c r="H171" s="6">
        <f>E171/100*AA171</f>
        <v>11.352410439999998</v>
      </c>
      <c r="K171">
        <v>30.9</v>
      </c>
      <c r="L171">
        <v>79.599999999999994</v>
      </c>
      <c r="M171">
        <v>110.9</v>
      </c>
      <c r="N171">
        <v>60</v>
      </c>
      <c r="O171" s="6">
        <f>(((4.68*N171)-(2.09*X171))-80.99)</f>
        <v>162.60799999999995</v>
      </c>
      <c r="Q171">
        <v>39.799999999999997</v>
      </c>
      <c r="R171">
        <v>11</v>
      </c>
      <c r="S171">
        <v>9.5</v>
      </c>
      <c r="T171">
        <v>4.3</v>
      </c>
      <c r="U171">
        <v>13.7</v>
      </c>
      <c r="V171">
        <v>6.8</v>
      </c>
      <c r="W171">
        <v>12.7</v>
      </c>
      <c r="X171">
        <v>17.8</v>
      </c>
      <c r="Y171">
        <v>9.5</v>
      </c>
      <c r="Z171">
        <f>SUM(R171:Y171)</f>
        <v>85.3</v>
      </c>
      <c r="AA171" s="6">
        <f>((0.1548*SUM(R171:S171,V171:Y171))+3.58)</f>
        <v>13.99804</v>
      </c>
      <c r="AB171" s="6">
        <f>Anthropometry[[#This Row],[Upper arm girth - R]]-(PI()*(Anthropometry[[#This Row],[Triceps]]/10))</f>
        <v>27.444248081051224</v>
      </c>
      <c r="AC171" s="6">
        <f>Anthropometry[[#This Row],[Mid-thighs]]-PI()*(Anthropometry[[#This Row],[Thigh]]/10)</f>
        <v>54.407965076610168</v>
      </c>
      <c r="AD171" s="6">
        <f>Anthropometry[[#This Row],[Mid-calf]]-PI()*(Anthropometry[[#This Row],[Calf]]/10)</f>
        <v>36.815486979089691</v>
      </c>
      <c r="AE171" s="6">
        <v>18.62</v>
      </c>
      <c r="AF171" s="6">
        <v>30.01</v>
      </c>
    </row>
    <row r="172" spans="1:39" ht="14.45">
      <c r="A172" t="s">
        <v>40</v>
      </c>
      <c r="B172" s="12">
        <v>43174</v>
      </c>
      <c r="C172" s="14">
        <v>0.40486111111111112</v>
      </c>
      <c r="D172" s="6">
        <v>182.8</v>
      </c>
      <c r="E172">
        <v>81</v>
      </c>
      <c r="G172" s="6">
        <v>75.475370699999999</v>
      </c>
      <c r="H172" s="6">
        <v>5.5246293000000009</v>
      </c>
      <c r="K172">
        <v>30</v>
      </c>
      <c r="M172">
        <v>99.9</v>
      </c>
      <c r="N172">
        <v>56</v>
      </c>
      <c r="O172" s="6">
        <v>170.22199999999998</v>
      </c>
      <c r="P172">
        <v>45.6</v>
      </c>
      <c r="Q172">
        <v>34.799999999999997</v>
      </c>
      <c r="R172">
        <v>5.0999999999999996</v>
      </c>
      <c r="S172">
        <v>9.1</v>
      </c>
      <c r="T172">
        <v>2.6</v>
      </c>
      <c r="U172">
        <v>8.1999999999999993</v>
      </c>
      <c r="V172">
        <v>5.0999999999999996</v>
      </c>
      <c r="W172">
        <v>12.1</v>
      </c>
      <c r="X172">
        <v>5.2</v>
      </c>
      <c r="Y172">
        <v>3.7</v>
      </c>
      <c r="Z172">
        <v>51.100000000000009</v>
      </c>
      <c r="AA172" s="6">
        <v>6.8205300000000006</v>
      </c>
      <c r="AB172" s="6">
        <f>Anthropometry[[#This Row],[Upper arm girth - R]]-(PI()*(Anthropometry[[#This Row],[Triceps]]/10))</f>
        <v>28.397787746669206</v>
      </c>
      <c r="AC172" s="6">
        <f>Anthropometry[[#This Row],[Mid-thighs]]-PI()*(Anthropometry[[#This Row],[Thigh]]/10)</f>
        <v>54.36637182013331</v>
      </c>
      <c r="AD172" s="6">
        <f>Anthropometry[[#This Row],[Mid-calf]]-PI()*(Anthropometry[[#This Row],[Calf]]/10)</f>
        <v>33.637610718171771</v>
      </c>
      <c r="AE172" s="6"/>
      <c r="AF172" s="6"/>
    </row>
    <row r="173" spans="1:39" ht="14.45">
      <c r="A173" t="s">
        <v>39</v>
      </c>
      <c r="B173" s="12">
        <v>43224</v>
      </c>
      <c r="C173" s="14">
        <v>0.35416666666666669</v>
      </c>
      <c r="D173">
        <v>180.1</v>
      </c>
      <c r="E173">
        <v>86.2</v>
      </c>
      <c r="G173" s="6">
        <v>82.277581060000003</v>
      </c>
      <c r="H173" s="6">
        <v>3.92241894</v>
      </c>
      <c r="J173">
        <v>93.8</v>
      </c>
      <c r="K173">
        <v>31.7</v>
      </c>
      <c r="M173">
        <v>100</v>
      </c>
      <c r="N173">
        <v>59.5</v>
      </c>
      <c r="O173" s="6">
        <v>182.00399999999996</v>
      </c>
      <c r="Z173" s="6"/>
      <c r="AA173" s="6">
        <v>4.55037</v>
      </c>
      <c r="AB173" s="6">
        <f>Anthropometry[[#This Row],[Upper arm girth - R]]-(PI()*(Anthropometry[[#This Row],[Triceps]]/10))</f>
        <v>31.7</v>
      </c>
      <c r="AC173" s="6">
        <f>Anthropometry[[#This Row],[Mid-thighs]]-PI()*(Anthropometry[[#This Row],[Thigh]]/10)</f>
        <v>59.5</v>
      </c>
      <c r="AD173" s="6">
        <f>Anthropometry[[#This Row],[Mid-calf]]-PI()*(Anthropometry[[#This Row],[Calf]]/10)</f>
        <v>0</v>
      </c>
      <c r="AE173" s="6"/>
      <c r="AF173" s="6"/>
    </row>
    <row r="174" spans="1:39" ht="14.45">
      <c r="A174" t="s">
        <v>45</v>
      </c>
      <c r="B174" s="12">
        <v>43230</v>
      </c>
      <c r="C174" s="14">
        <v>0.41666666666666669</v>
      </c>
      <c r="D174" s="6">
        <v>175.7</v>
      </c>
      <c r="E174">
        <v>76.900000000000006</v>
      </c>
      <c r="G174" s="6">
        <f>E174/100*(100-AA174)</f>
        <v>70.329533270000013</v>
      </c>
      <c r="H174" s="6">
        <f>E174/100*AA174</f>
        <v>6.5704667299999997</v>
      </c>
      <c r="J174">
        <v>90</v>
      </c>
      <c r="K174">
        <v>28</v>
      </c>
      <c r="M174">
        <v>97.5</v>
      </c>
      <c r="N174">
        <v>57.6</v>
      </c>
      <c r="O174" s="6">
        <f>(((4.68*N174)-(2.09*X174))-80.99)</f>
        <v>162.45299999999997</v>
      </c>
      <c r="P174">
        <v>46.5</v>
      </c>
      <c r="Q174">
        <v>37.799999999999997</v>
      </c>
      <c r="R174">
        <v>6.6</v>
      </c>
      <c r="S174">
        <v>10.4</v>
      </c>
      <c r="T174">
        <v>3.5</v>
      </c>
      <c r="U174">
        <v>13</v>
      </c>
      <c r="V174">
        <v>6.3</v>
      </c>
      <c r="W174">
        <v>17</v>
      </c>
      <c r="X174">
        <v>12.5</v>
      </c>
      <c r="Y174">
        <v>3.9</v>
      </c>
      <c r="Z174">
        <f>SUM(R174:Y174)</f>
        <v>73.2</v>
      </c>
      <c r="AA174" s="6">
        <f>((0.1051*SUM(R174:S174,V174:Y174))+2.585)</f>
        <v>8.5441699999999994</v>
      </c>
      <c r="AB174" s="6">
        <f>Anthropometry[[#This Row],[Upper arm girth - R]]-(PI()*(Anthropometry[[#This Row],[Triceps]]/10))</f>
        <v>25.926548848630738</v>
      </c>
      <c r="AC174" s="6">
        <f>Anthropometry[[#This Row],[Mid-thighs]]-PI()*(Anthropometry[[#This Row],[Thigh]]/10)</f>
        <v>53.673009183012759</v>
      </c>
      <c r="AD174" s="6">
        <f>Anthropometry[[#This Row],[Mid-calf]]-PI()*(Anthropometry[[#This Row],[Calf]]/10)</f>
        <v>36.574778865099979</v>
      </c>
      <c r="AE174" s="6"/>
      <c r="AF174" s="6"/>
    </row>
    <row r="175" spans="1:39" ht="14.45">
      <c r="A175" t="s">
        <v>44</v>
      </c>
      <c r="B175" s="12">
        <v>43230</v>
      </c>
      <c r="C175" s="14">
        <v>0.47916666666666669</v>
      </c>
      <c r="D175">
        <v>170.1</v>
      </c>
      <c r="E175">
        <v>62.4</v>
      </c>
      <c r="F175" s="6">
        <v>21.566315902980612</v>
      </c>
      <c r="G175" s="6">
        <v>53.906711039999998</v>
      </c>
      <c r="H175" s="6">
        <v>8.493288960000001</v>
      </c>
      <c r="J175">
        <v>80.599999999999994</v>
      </c>
      <c r="K175">
        <v>26</v>
      </c>
      <c r="M175">
        <v>92</v>
      </c>
      <c r="N175">
        <v>51.2</v>
      </c>
      <c r="O175" s="6">
        <v>124.76799999999999</v>
      </c>
      <c r="P175">
        <v>42.1</v>
      </c>
      <c r="Q175">
        <v>33.700000000000003</v>
      </c>
      <c r="R175">
        <v>14.3</v>
      </c>
      <c r="S175">
        <v>7.3</v>
      </c>
      <c r="T175">
        <v>4.3</v>
      </c>
      <c r="U175">
        <v>8.1999999999999993</v>
      </c>
      <c r="V175">
        <v>5.8</v>
      </c>
      <c r="W175">
        <v>9</v>
      </c>
      <c r="X175">
        <v>16.2</v>
      </c>
      <c r="Y175">
        <v>12.2</v>
      </c>
      <c r="Z175">
        <v>77.3</v>
      </c>
      <c r="AA175" s="6">
        <v>13.611040000000001</v>
      </c>
      <c r="AB175" s="6">
        <f>Anthropometry[[#This Row],[Upper arm girth - R]]-(PI()*(Anthropometry[[#This Row],[Triceps]]/10))</f>
        <v>21.507522505366595</v>
      </c>
      <c r="AC175" s="6">
        <f>Anthropometry[[#This Row],[Mid-thighs]]-PI()*(Anthropometry[[#This Row],[Thigh]]/10)</f>
        <v>46.110619901184535</v>
      </c>
      <c r="AD175" s="6">
        <f>Anthropometry[[#This Row],[Mid-calf]]-PI()*(Anthropometry[[#This Row],[Calf]]/10)</f>
        <v>29.867256962620456</v>
      </c>
      <c r="AE175" s="6"/>
      <c r="AF175" s="6"/>
    </row>
    <row r="176" spans="1:39" ht="14.45">
      <c r="A176" t="s">
        <v>41</v>
      </c>
      <c r="B176" s="12">
        <v>43230</v>
      </c>
      <c r="C176" s="14">
        <v>0.39583333333333331</v>
      </c>
      <c r="D176">
        <v>177.6</v>
      </c>
      <c r="E176">
        <v>88.1</v>
      </c>
      <c r="G176" s="6">
        <v>82.276299269999981</v>
      </c>
      <c r="H176" s="6">
        <v>5.8237007299999988</v>
      </c>
      <c r="J176">
        <v>99.1</v>
      </c>
      <c r="K176">
        <v>32</v>
      </c>
      <c r="M176">
        <v>101</v>
      </c>
      <c r="N176">
        <v>59.6</v>
      </c>
      <c r="O176" s="6">
        <v>186.44299999999998</v>
      </c>
      <c r="P176">
        <v>46.4</v>
      </c>
      <c r="Q176">
        <v>37.5</v>
      </c>
      <c r="R176">
        <v>5.5</v>
      </c>
      <c r="S176">
        <v>8.1999999999999993</v>
      </c>
      <c r="T176">
        <v>3</v>
      </c>
      <c r="U176">
        <v>8.6</v>
      </c>
      <c r="V176">
        <v>5.4</v>
      </c>
      <c r="W176">
        <v>9.6999999999999993</v>
      </c>
      <c r="X176">
        <v>5.5</v>
      </c>
      <c r="Y176">
        <v>4</v>
      </c>
      <c r="Z176">
        <v>49.899999999999991</v>
      </c>
      <c r="AA176" s="6">
        <v>6.6103299999999994</v>
      </c>
      <c r="AB176" s="6">
        <f>Anthropometry[[#This Row],[Upper arm girth - R]]-(PI()*(Anthropometry[[#This Row],[Triceps]]/10))</f>
        <v>30.272124040525615</v>
      </c>
      <c r="AC176" s="6">
        <f>Anthropometry[[#This Row],[Mid-thighs]]-PI()*(Anthropometry[[#This Row],[Thigh]]/10)</f>
        <v>57.872124040525613</v>
      </c>
      <c r="AD176" s="6">
        <f>Anthropometry[[#This Row],[Mid-calf]]-PI()*(Anthropometry[[#This Row],[Calf]]/10)</f>
        <v>36.243362938564083</v>
      </c>
      <c r="AE176" s="6"/>
      <c r="AF176" s="6"/>
    </row>
    <row r="177" spans="1:39" ht="14.45">
      <c r="A177" t="s">
        <v>43</v>
      </c>
      <c r="B177" s="12">
        <v>45317</v>
      </c>
      <c r="C177" s="14">
        <v>0.29166666666666669</v>
      </c>
      <c r="D177" s="6">
        <v>176.2</v>
      </c>
      <c r="E177">
        <v>81.7</v>
      </c>
      <c r="F177" s="6">
        <f>(E177/((D177/100)*(D177/100)))</f>
        <v>26.31541651796471</v>
      </c>
      <c r="G177" s="13">
        <f>E177/100*(100-AA177)</f>
        <v>69.808303560000013</v>
      </c>
      <c r="H177" s="6">
        <f>E177/100*AA177</f>
        <v>11.89169644</v>
      </c>
      <c r="K177">
        <v>30.7</v>
      </c>
      <c r="L177">
        <v>79.7</v>
      </c>
      <c r="M177">
        <v>109.3</v>
      </c>
      <c r="N177">
        <v>59.8</v>
      </c>
      <c r="O177" s="6">
        <f>(((4.68*N177)-(2.09*X177))-80.99)</f>
        <v>163.34399999999999</v>
      </c>
      <c r="Q177">
        <v>40.1</v>
      </c>
      <c r="R177">
        <v>13</v>
      </c>
      <c r="S177">
        <v>9.1999999999999993</v>
      </c>
      <c r="T177">
        <v>4.2</v>
      </c>
      <c r="U177">
        <v>14.4</v>
      </c>
      <c r="V177">
        <v>6.8</v>
      </c>
      <c r="W177">
        <v>15.5</v>
      </c>
      <c r="X177">
        <v>17</v>
      </c>
      <c r="Y177">
        <v>9.4</v>
      </c>
      <c r="Z177">
        <f>SUM(R177:Y177)</f>
        <v>89.5</v>
      </c>
      <c r="AA177" s="6">
        <f>((0.1548*SUM(R177:S177,V177:Y177))+3.58)</f>
        <v>14.55532</v>
      </c>
      <c r="AB177" s="6">
        <f>Anthropometry[[#This Row],[Upper arm girth - R]]-(PI()*(Anthropometry[[#This Row],[Triceps]]/10))</f>
        <v>26.61592955033327</v>
      </c>
      <c r="AC177" s="6">
        <f>Anthropometry[[#This Row],[Mid-thighs]]-PI()*(Anthropometry[[#This Row],[Thigh]]/10)</f>
        <v>54.459292488897347</v>
      </c>
      <c r="AD177" s="6">
        <f>Anthropometry[[#This Row],[Mid-calf]]-PI()*(Anthropometry[[#This Row],[Calf]]/10)</f>
        <v>37.146902905625595</v>
      </c>
      <c r="AE177" s="6">
        <v>19.100000000000001</v>
      </c>
      <c r="AF177" s="6">
        <v>29.6</v>
      </c>
    </row>
    <row r="178" spans="1:39" ht="14.45">
      <c r="A178" t="s">
        <v>45</v>
      </c>
      <c r="B178" s="12">
        <v>43264</v>
      </c>
      <c r="C178" s="14">
        <v>0.42708333333333331</v>
      </c>
      <c r="D178" s="6">
        <v>175.7</v>
      </c>
      <c r="E178">
        <v>78.099999999999994</v>
      </c>
      <c r="G178" s="6">
        <f>E178/100*(100-AA178)</f>
        <v>71.582961119999993</v>
      </c>
      <c r="H178" s="6">
        <f>E178/100*AA178</f>
        <v>6.5170388800000003</v>
      </c>
      <c r="J178">
        <v>89</v>
      </c>
      <c r="K178">
        <v>29.5</v>
      </c>
      <c r="M178">
        <v>97.5</v>
      </c>
      <c r="N178">
        <v>58.2</v>
      </c>
      <c r="O178" s="6">
        <f>(((4.68*N178)-(2.09*X178))-80.99)</f>
        <v>165.05199999999996</v>
      </c>
      <c r="P178">
        <v>47.5</v>
      </c>
      <c r="Q178">
        <v>38.200000000000003</v>
      </c>
      <c r="R178">
        <v>6.5</v>
      </c>
      <c r="S178">
        <v>10.199999999999999</v>
      </c>
      <c r="T178">
        <v>3.7</v>
      </c>
      <c r="U178">
        <v>10</v>
      </c>
      <c r="V178">
        <v>6</v>
      </c>
      <c r="W178">
        <v>16</v>
      </c>
      <c r="X178">
        <v>12.6</v>
      </c>
      <c r="Y178">
        <v>3.5</v>
      </c>
      <c r="Z178">
        <f>SUM(R178:Y178)</f>
        <v>68.5</v>
      </c>
      <c r="AA178" s="6">
        <f>((0.1051*SUM(R178:S178,V178:Y178))+2.585)</f>
        <v>8.3444800000000008</v>
      </c>
      <c r="AB178" s="6">
        <f>Anthropometry[[#This Row],[Upper arm girth - R]]-(PI()*(Anthropometry[[#This Row],[Triceps]]/10))</f>
        <v>27.457964775166634</v>
      </c>
      <c r="AC178" s="6">
        <f>Anthropometry[[#This Row],[Mid-thighs]]-PI()*(Anthropometry[[#This Row],[Thigh]]/10)</f>
        <v>54.241593256476861</v>
      </c>
      <c r="AD178" s="6">
        <f>Anthropometry[[#This Row],[Mid-calf]]-PI()*(Anthropometry[[#This Row],[Calf]]/10)</f>
        <v>37.100442571243576</v>
      </c>
      <c r="AE178" s="6"/>
      <c r="AF178" s="6"/>
    </row>
    <row r="179" spans="1:39" ht="14.45">
      <c r="A179" t="s">
        <v>44</v>
      </c>
      <c r="B179" s="12">
        <v>43264</v>
      </c>
      <c r="C179" s="14">
        <v>0.38541666666666669</v>
      </c>
      <c r="D179">
        <v>170.1</v>
      </c>
      <c r="E179">
        <v>64.599999999999994</v>
      </c>
      <c r="F179" s="6">
        <v>22.32666678417544</v>
      </c>
      <c r="G179" s="6">
        <v>55.527265919999998</v>
      </c>
      <c r="H179" s="6">
        <v>9.0727340799999983</v>
      </c>
      <c r="J179">
        <v>84</v>
      </c>
      <c r="K179">
        <v>27.4</v>
      </c>
      <c r="M179">
        <v>95.6</v>
      </c>
      <c r="N179">
        <v>53.5</v>
      </c>
      <c r="O179" s="6">
        <v>132.60599999999999</v>
      </c>
      <c r="P179">
        <v>43.5</v>
      </c>
      <c r="Q179">
        <v>34.1</v>
      </c>
      <c r="R179">
        <v>14.6</v>
      </c>
      <c r="S179">
        <v>7.2</v>
      </c>
      <c r="T179">
        <v>4.5999999999999996</v>
      </c>
      <c r="U179">
        <v>8.6</v>
      </c>
      <c r="V179">
        <v>6</v>
      </c>
      <c r="W179">
        <v>9.5</v>
      </c>
      <c r="X179">
        <v>17.600000000000001</v>
      </c>
      <c r="Y179">
        <v>12.7</v>
      </c>
      <c r="Z179">
        <v>80.8</v>
      </c>
      <c r="AA179" s="6">
        <v>14.044479999999998</v>
      </c>
      <c r="AB179" s="6">
        <f>Anthropometry[[#This Row],[Upper arm girth - R]]-(PI()*(Anthropometry[[#This Row],[Triceps]]/10))</f>
        <v>22.813274725758902</v>
      </c>
      <c r="AC179" s="6">
        <f>Anthropometry[[#This Row],[Mid-thighs]]-PI()*(Anthropometry[[#This Row],[Thigh]]/10)</f>
        <v>47.970796929681967</v>
      </c>
      <c r="AD179" s="6">
        <f>Anthropometry[[#This Row],[Mid-calf]]-PI()*(Anthropometry[[#This Row],[Calf]]/10)</f>
        <v>30.110177329940964</v>
      </c>
      <c r="AE179" s="6"/>
      <c r="AF179" s="6"/>
    </row>
    <row r="180" spans="1:39" ht="14.45">
      <c r="A180" t="s">
        <v>39</v>
      </c>
      <c r="B180" s="12">
        <v>43264</v>
      </c>
      <c r="C180" s="14">
        <v>0.3923611111111111</v>
      </c>
      <c r="D180">
        <v>180.1</v>
      </c>
      <c r="E180">
        <v>86.5</v>
      </c>
      <c r="G180" s="6">
        <v>79.863858399999998</v>
      </c>
      <c r="H180" s="6">
        <v>6.6361415999999993</v>
      </c>
      <c r="J180">
        <v>94.6</v>
      </c>
      <c r="K180">
        <v>30.5</v>
      </c>
      <c r="M180">
        <v>101.2</v>
      </c>
      <c r="N180">
        <v>60.5</v>
      </c>
      <c r="O180" s="6">
        <v>186.05699999999996</v>
      </c>
      <c r="P180">
        <v>52.6</v>
      </c>
      <c r="Q180">
        <v>40.6</v>
      </c>
      <c r="R180">
        <v>7</v>
      </c>
      <c r="S180">
        <v>8</v>
      </c>
      <c r="T180">
        <v>3.6</v>
      </c>
      <c r="U180">
        <v>14.6</v>
      </c>
      <c r="V180">
        <v>7</v>
      </c>
      <c r="W180">
        <v>14.4</v>
      </c>
      <c r="X180">
        <v>7.7</v>
      </c>
      <c r="Y180">
        <v>4.3</v>
      </c>
      <c r="Z180" s="6">
        <v>66.600000000000009</v>
      </c>
      <c r="AA180" s="6">
        <v>7.6718399999999995</v>
      </c>
      <c r="AB180" s="6">
        <f>Anthropometry[[#This Row],[Upper arm girth - R]]-(PI()*(Anthropometry[[#This Row],[Triceps]]/10))</f>
        <v>28.300885142487147</v>
      </c>
      <c r="AC180" s="6">
        <f>Anthropometry[[#This Row],[Mid-thighs]]-PI()*(Anthropometry[[#This Row],[Thigh]]/10)</f>
        <v>58.080973656735857</v>
      </c>
      <c r="AD180" s="6">
        <f>Anthropometry[[#This Row],[Mid-calf]]-PI()*(Anthropometry[[#This Row],[Calf]]/10)</f>
        <v>39.249115158956393</v>
      </c>
      <c r="AE180" s="6"/>
      <c r="AF180" s="6"/>
    </row>
    <row r="181" spans="1:39" ht="14.45">
      <c r="A181" t="s">
        <v>41</v>
      </c>
      <c r="B181" s="12">
        <v>43264</v>
      </c>
      <c r="C181" s="14">
        <v>0.41666666666666669</v>
      </c>
      <c r="D181">
        <v>177.6</v>
      </c>
      <c r="E181">
        <v>88.8</v>
      </c>
      <c r="G181" s="6">
        <v>82.920694080000004</v>
      </c>
      <c r="H181" s="6">
        <v>5.8793059199999993</v>
      </c>
      <c r="J181">
        <v>100.4</v>
      </c>
      <c r="K181">
        <v>32</v>
      </c>
      <c r="M181">
        <v>100.5</v>
      </c>
      <c r="N181">
        <v>60.5</v>
      </c>
      <c r="O181" s="6">
        <v>191.7</v>
      </c>
      <c r="P181">
        <v>47.2</v>
      </c>
      <c r="Q181">
        <v>37.799999999999997</v>
      </c>
      <c r="R181">
        <v>6.7</v>
      </c>
      <c r="S181">
        <v>8</v>
      </c>
      <c r="T181">
        <v>3</v>
      </c>
      <c r="U181">
        <v>9.1999999999999993</v>
      </c>
      <c r="V181">
        <v>5.5</v>
      </c>
      <c r="W181">
        <v>9.1999999999999993</v>
      </c>
      <c r="X181">
        <v>5</v>
      </c>
      <c r="Y181">
        <v>4</v>
      </c>
      <c r="Z181">
        <v>50.599999999999994</v>
      </c>
      <c r="AA181" s="6">
        <v>6.6208399999999994</v>
      </c>
      <c r="AB181" s="6">
        <f>Anthropometry[[#This Row],[Upper arm girth - R]]-(PI()*(Anthropometry[[#This Row],[Triceps]]/10))</f>
        <v>29.895132922094838</v>
      </c>
      <c r="AC181" s="6">
        <f>Anthropometry[[#This Row],[Mid-thighs]]-PI()*(Anthropometry[[#This Row],[Thigh]]/10)</f>
        <v>58.929203673205102</v>
      </c>
      <c r="AD181" s="6">
        <f>Anthropometry[[#This Row],[Mid-calf]]-PI()*(Anthropometry[[#This Row],[Calf]]/10)</f>
        <v>36.54336293856408</v>
      </c>
      <c r="AE181" s="6"/>
      <c r="AF181" s="6"/>
    </row>
    <row r="182" spans="1:39" ht="14.45">
      <c r="A182" t="s">
        <v>43</v>
      </c>
      <c r="B182" s="12">
        <v>45418</v>
      </c>
      <c r="C182" s="14">
        <v>0.3125</v>
      </c>
      <c r="D182" s="6">
        <v>176.8</v>
      </c>
      <c r="E182">
        <v>82.7</v>
      </c>
      <c r="F182" s="6">
        <f>(E182/((D182/100)*(D182/100)))</f>
        <v>26.45702381196126</v>
      </c>
      <c r="G182" s="13">
        <f>E182/100*(100-AA182)</f>
        <v>70.969997399999997</v>
      </c>
      <c r="H182" s="6">
        <f>E182/100*AA182</f>
        <v>11.730002600000001</v>
      </c>
      <c r="K182">
        <v>30.8</v>
      </c>
      <c r="L182">
        <v>81.5</v>
      </c>
      <c r="M182">
        <v>110.5</v>
      </c>
      <c r="N182">
        <v>59.3</v>
      </c>
      <c r="O182" s="6">
        <f>(((4.68*N182)-(2.09*X182))-80.99)</f>
        <v>165.60199999999998</v>
      </c>
      <c r="Q182">
        <v>40.200000000000003</v>
      </c>
      <c r="R182">
        <v>14.1</v>
      </c>
      <c r="S182">
        <v>9.5</v>
      </c>
      <c r="T182">
        <v>4.0999999999999996</v>
      </c>
      <c r="U182">
        <v>13.5</v>
      </c>
      <c r="V182">
        <v>7.1</v>
      </c>
      <c r="W182">
        <v>13.4</v>
      </c>
      <c r="X182">
        <v>14.8</v>
      </c>
      <c r="Y182">
        <v>9.6</v>
      </c>
      <c r="Z182">
        <f>SUM(R182:Y182)</f>
        <v>86.1</v>
      </c>
      <c r="AA182" s="6">
        <f>((0.1548*SUM(R182:S182,V182:Y182))+3.58)</f>
        <v>14.1838</v>
      </c>
      <c r="AB182" s="6">
        <f>Anthropometry[[#This Row],[Upper arm girth - R]]-(PI()*(Anthropometry[[#This Row],[Triceps]]/10))</f>
        <v>26.370354358438391</v>
      </c>
      <c r="AC182" s="6">
        <f>Anthropometry[[#This Row],[Mid-thighs]]-PI()*(Anthropometry[[#This Row],[Thigh]]/10)</f>
        <v>54.650442872687101</v>
      </c>
      <c r="AD182" s="6">
        <f>Anthropometry[[#This Row],[Mid-calf]]-PI()*(Anthropometry[[#This Row],[Calf]]/10)</f>
        <v>37.184071052553804</v>
      </c>
      <c r="AE182" s="6">
        <v>19.010000000000002</v>
      </c>
      <c r="AF182" s="6">
        <v>29.93</v>
      </c>
    </row>
    <row r="183" spans="1:39" ht="14.45">
      <c r="A183" t="s">
        <v>43</v>
      </c>
      <c r="B183" s="12">
        <v>45426</v>
      </c>
      <c r="C183" s="14">
        <v>0.33333333333333331</v>
      </c>
      <c r="D183">
        <v>177</v>
      </c>
      <c r="E183">
        <v>80</v>
      </c>
      <c r="AG183">
        <v>77.3</v>
      </c>
      <c r="AH183">
        <v>18.7</v>
      </c>
      <c r="AI183">
        <v>62.2</v>
      </c>
      <c r="AJ183">
        <v>15</v>
      </c>
      <c r="AK183">
        <v>24.2</v>
      </c>
      <c r="AL183">
        <v>9.6999999999999993</v>
      </c>
      <c r="AM183">
        <v>34</v>
      </c>
    </row>
    <row r="184" spans="1:39" ht="14.45">
      <c r="A184" s="57" t="s">
        <v>43</v>
      </c>
      <c r="B184" s="12">
        <v>45464</v>
      </c>
      <c r="C184" s="33">
        <v>0.3125</v>
      </c>
      <c r="D184" s="22">
        <v>176.1</v>
      </c>
      <c r="E184" s="11">
        <v>81.7</v>
      </c>
      <c r="F184" s="6">
        <f>(E184/((D184/100)*(D184/100)))</f>
        <v>26.345311904953086</v>
      </c>
      <c r="G184" s="13">
        <f>E184/100*(100-AA184)</f>
        <v>70.301542800000007</v>
      </c>
      <c r="H184" s="6">
        <f>E184/100*AA184</f>
        <v>11.398457199999999</v>
      </c>
      <c r="I184" s="11"/>
      <c r="J184" s="11"/>
      <c r="K184" s="11">
        <v>30.4</v>
      </c>
      <c r="L184" s="11">
        <v>78.8</v>
      </c>
      <c r="M184" s="11">
        <v>108.7</v>
      </c>
      <c r="N184" s="11">
        <v>58.3</v>
      </c>
      <c r="O184" s="22">
        <v>154.4</v>
      </c>
      <c r="P184" s="11"/>
      <c r="Q184" s="11">
        <v>40.200000000000003</v>
      </c>
      <c r="R184" s="11">
        <v>12.2</v>
      </c>
      <c r="S184" s="11">
        <v>9.4</v>
      </c>
      <c r="T184" s="11">
        <v>4.2</v>
      </c>
      <c r="U184" s="11">
        <v>12.7</v>
      </c>
      <c r="V184" s="11">
        <v>6.9</v>
      </c>
      <c r="W184" s="11">
        <v>11.2</v>
      </c>
      <c r="X184" s="11">
        <v>17.899999999999999</v>
      </c>
      <c r="Y184" s="11">
        <v>9.4</v>
      </c>
      <c r="Z184">
        <f>SUM(R184:Y184)</f>
        <v>83.9</v>
      </c>
      <c r="AA184" s="6">
        <f>((0.1548*SUM(R184:S184,V184:Y184))+3.58)</f>
        <v>13.951599999999999</v>
      </c>
      <c r="AB184" s="6">
        <f>Anthropometry[[#This Row],[Upper arm girth - R]]-(PI()*(Anthropometry[[#This Row],[Triceps]]/10))</f>
        <v>26.567256962620451</v>
      </c>
      <c r="AC184" s="6">
        <f>Anthropometry[[#This Row],[Mid-thighs]]-PI()*(Anthropometry[[#This Row],[Thigh]]/10)</f>
        <v>52.676549150074266</v>
      </c>
      <c r="AD184" s="6">
        <f>Anthropometry[[#This Row],[Mid-calf]]-PI()*(Anthropometry[[#This Row],[Calf]]/10)</f>
        <v>37.246902905625596</v>
      </c>
      <c r="AE184" s="6">
        <v>19.010000000000002</v>
      </c>
      <c r="AF184" s="6">
        <v>29.93</v>
      </c>
      <c r="AG184" s="11"/>
      <c r="AH184" s="11"/>
      <c r="AI184" s="11"/>
      <c r="AJ184" s="11"/>
      <c r="AK184" s="11"/>
      <c r="AL184" s="11"/>
      <c r="AM184" s="11"/>
    </row>
    <row r="185" spans="1:39" ht="14.45">
      <c r="A185" t="s">
        <v>40</v>
      </c>
      <c r="B185" s="12">
        <v>43307</v>
      </c>
      <c r="C185" s="14">
        <v>0.42708333333333331</v>
      </c>
      <c r="D185" s="6">
        <v>182.8</v>
      </c>
      <c r="E185">
        <v>86.8</v>
      </c>
      <c r="G185" s="6">
        <v>79.967511959999996</v>
      </c>
      <c r="H185" s="6">
        <v>6.8324880400000003</v>
      </c>
      <c r="J185">
        <v>96.4</v>
      </c>
      <c r="K185">
        <v>31.5</v>
      </c>
      <c r="M185">
        <v>101.8</v>
      </c>
      <c r="N185">
        <v>57.5</v>
      </c>
      <c r="O185" s="6">
        <v>176.82399999999996</v>
      </c>
      <c r="P185">
        <v>46.8</v>
      </c>
      <c r="Q185">
        <v>35.5</v>
      </c>
      <c r="R185">
        <v>6.2</v>
      </c>
      <c r="S185">
        <v>10.5</v>
      </c>
      <c r="T185">
        <v>2.7</v>
      </c>
      <c r="U185">
        <v>12.2</v>
      </c>
      <c r="V185">
        <v>5.8</v>
      </c>
      <c r="W185">
        <v>17.600000000000001</v>
      </c>
      <c r="X185">
        <v>5.4</v>
      </c>
      <c r="Y185">
        <v>4.8</v>
      </c>
      <c r="Z185">
        <v>65.2</v>
      </c>
      <c r="AA185" s="6">
        <v>7.8715299999999999</v>
      </c>
      <c r="AB185" s="6">
        <f>Anthropometry[[#This Row],[Upper arm girth - R]]-(PI()*(Anthropometry[[#This Row],[Triceps]]/10))</f>
        <v>29.552212554774329</v>
      </c>
      <c r="AC185" s="6">
        <f>Anthropometry[[#This Row],[Mid-thighs]]-PI()*(Anthropometry[[#This Row],[Thigh]]/10)</f>
        <v>55.803539967061511</v>
      </c>
      <c r="AD185" s="6">
        <f>Anthropometry[[#This Row],[Mid-calf]]-PI()*(Anthropometry[[#This Row],[Calf]]/10)</f>
        <v>33.992035526276901</v>
      </c>
      <c r="AE185" s="6"/>
      <c r="AF185" s="6"/>
    </row>
    <row r="186" spans="1:39" ht="14.45">
      <c r="A186" t="s">
        <v>39</v>
      </c>
      <c r="B186" s="12">
        <v>43308</v>
      </c>
      <c r="C186" s="14">
        <v>0.38541666666666669</v>
      </c>
      <c r="D186">
        <v>180.1</v>
      </c>
      <c r="E186">
        <v>85.6</v>
      </c>
      <c r="G186" s="6">
        <v>79.320794879999994</v>
      </c>
      <c r="H186" s="6">
        <v>6.2792051199999994</v>
      </c>
      <c r="J186">
        <v>94.8</v>
      </c>
      <c r="K186">
        <v>30.2</v>
      </c>
      <c r="M186">
        <v>100</v>
      </c>
      <c r="N186">
        <v>60.5</v>
      </c>
      <c r="O186" s="6">
        <v>188.35599999999999</v>
      </c>
      <c r="P186">
        <v>49.8</v>
      </c>
      <c r="Q186">
        <v>40.1</v>
      </c>
      <c r="R186">
        <v>6.5</v>
      </c>
      <c r="S186">
        <v>8</v>
      </c>
      <c r="T186">
        <v>3.4</v>
      </c>
      <c r="U186">
        <v>13.4</v>
      </c>
      <c r="V186">
        <v>6.2</v>
      </c>
      <c r="W186">
        <v>13.5</v>
      </c>
      <c r="X186">
        <v>6.6</v>
      </c>
      <c r="Y186">
        <v>4.4000000000000004</v>
      </c>
      <c r="Z186" s="6">
        <v>62</v>
      </c>
      <c r="AA186" s="6">
        <v>7.3355199999999998</v>
      </c>
      <c r="AB186" s="6">
        <f>Anthropometry[[#This Row],[Upper arm girth - R]]-(PI()*(Anthropometry[[#This Row],[Triceps]]/10))</f>
        <v>28.157964775166633</v>
      </c>
      <c r="AC186" s="6">
        <f>Anthropometry[[#This Row],[Mid-thighs]]-PI()*(Anthropometry[[#This Row],[Thigh]]/10)</f>
        <v>58.426548848630738</v>
      </c>
      <c r="AD186" s="6">
        <f>Anthropometry[[#This Row],[Mid-calf]]-PI()*(Anthropometry[[#This Row],[Calf]]/10)</f>
        <v>38.717699232420493</v>
      </c>
      <c r="AE186" s="6"/>
      <c r="AF186" s="6"/>
    </row>
    <row r="187" spans="1:39" ht="14.45">
      <c r="A187" t="s">
        <v>42</v>
      </c>
      <c r="B187" s="12">
        <v>43308</v>
      </c>
      <c r="C187" s="14">
        <v>0.375</v>
      </c>
      <c r="D187">
        <v>167.5</v>
      </c>
      <c r="E187">
        <v>64.400000000000006</v>
      </c>
      <c r="F187" s="6">
        <v>19.223880597014926</v>
      </c>
      <c r="G187" s="6">
        <v>57.688128960000007</v>
      </c>
      <c r="H187" s="6">
        <v>6.7118710399999992</v>
      </c>
      <c r="J187">
        <v>83.2</v>
      </c>
      <c r="K187">
        <v>26.4</v>
      </c>
      <c r="M187">
        <v>94.2</v>
      </c>
      <c r="N187">
        <v>54</v>
      </c>
      <c r="O187" s="6">
        <v>152.91999999999996</v>
      </c>
      <c r="P187">
        <v>47.5</v>
      </c>
      <c r="Q187">
        <v>36.4</v>
      </c>
      <c r="R187">
        <v>6.8</v>
      </c>
      <c r="S187">
        <v>6.2</v>
      </c>
      <c r="T187">
        <v>2.8</v>
      </c>
      <c r="U187">
        <v>8.1999999999999993</v>
      </c>
      <c r="V187">
        <v>5.3</v>
      </c>
      <c r="W187">
        <v>8.5</v>
      </c>
      <c r="X187">
        <v>9</v>
      </c>
      <c r="Y187">
        <v>8.4</v>
      </c>
      <c r="Z187">
        <v>55.199999999999996</v>
      </c>
      <c r="AA187" s="6">
        <v>10.422159999999998</v>
      </c>
      <c r="AB187" s="6">
        <f>Anthropometry[[#This Row],[Upper arm girth - R]]-(PI()*(Anthropometry[[#This Row],[Triceps]]/10))</f>
        <v>24.263716995558941</v>
      </c>
      <c r="AC187" s="6">
        <f>Anthropometry[[#This Row],[Mid-thighs]]-PI()*(Anthropometry[[#This Row],[Thigh]]/10)</f>
        <v>51.172566611769184</v>
      </c>
      <c r="AD187" s="6">
        <f>Anthropometry[[#This Row],[Mid-calf]]-PI()*(Anthropometry[[#This Row],[Calf]]/10)</f>
        <v>33.761062170984573</v>
      </c>
      <c r="AE187" s="6"/>
      <c r="AF187" s="6"/>
    </row>
    <row r="188" spans="1:39" ht="14.45">
      <c r="A188" t="s">
        <v>39</v>
      </c>
      <c r="B188" s="12">
        <v>43343</v>
      </c>
      <c r="C188" s="14">
        <v>0.38541666666666669</v>
      </c>
      <c r="D188">
        <v>180.3</v>
      </c>
      <c r="E188">
        <v>86.8</v>
      </c>
      <c r="G188" s="6">
        <v>80.551363479999992</v>
      </c>
      <c r="H188" s="6">
        <v>6.2486365199999998</v>
      </c>
      <c r="J188">
        <v>95.8</v>
      </c>
      <c r="K188">
        <v>31.5</v>
      </c>
      <c r="M188">
        <v>101</v>
      </c>
      <c r="N188">
        <v>60.5</v>
      </c>
      <c r="O188" s="6">
        <v>187.93799999999999</v>
      </c>
      <c r="P188">
        <v>50</v>
      </c>
      <c r="Q188">
        <v>40.799999999999997</v>
      </c>
      <c r="R188">
        <v>6.6</v>
      </c>
      <c r="S188">
        <v>7.8</v>
      </c>
      <c r="T188">
        <v>3.3</v>
      </c>
      <c r="U188">
        <v>13.3</v>
      </c>
      <c r="V188">
        <v>5.8</v>
      </c>
      <c r="W188">
        <v>12.5</v>
      </c>
      <c r="X188">
        <v>6.8</v>
      </c>
      <c r="Y188">
        <v>4.4000000000000004</v>
      </c>
      <c r="Z188" s="6">
        <v>60.499999999999993</v>
      </c>
      <c r="AA188" s="6">
        <v>7.1988899999999996</v>
      </c>
      <c r="AB188" s="6">
        <f>Anthropometry[[#This Row],[Upper arm girth - R]]-(PI()*(Anthropometry[[#This Row],[Triceps]]/10))</f>
        <v>29.426548848630738</v>
      </c>
      <c r="AC188" s="6">
        <f>Anthropometry[[#This Row],[Mid-thighs]]-PI()*(Anthropometry[[#This Row],[Thigh]]/10)</f>
        <v>58.363716995558939</v>
      </c>
      <c r="AD188" s="6">
        <f>Anthropometry[[#This Row],[Mid-calf]]-PI()*(Anthropometry[[#This Row],[Calf]]/10)</f>
        <v>39.417699232420489</v>
      </c>
      <c r="AE188" s="6"/>
      <c r="AF188" s="6"/>
    </row>
    <row r="189" spans="1:39" ht="14.45">
      <c r="A189" t="s">
        <v>45</v>
      </c>
      <c r="B189" s="12">
        <v>43347</v>
      </c>
      <c r="C189" s="14">
        <v>0.5</v>
      </c>
      <c r="D189" s="6">
        <v>175.7</v>
      </c>
      <c r="E189">
        <v>78.900000000000006</v>
      </c>
      <c r="G189" s="6">
        <f>E189/100*(100-AA189)</f>
        <v>72.432298740000007</v>
      </c>
      <c r="H189" s="6">
        <f>E189/100*AA189</f>
        <v>6.4677012599999992</v>
      </c>
      <c r="J189">
        <v>89.5</v>
      </c>
      <c r="K189">
        <v>28.5</v>
      </c>
      <c r="M189">
        <v>99</v>
      </c>
      <c r="N189">
        <v>58.5</v>
      </c>
      <c r="O189" s="6">
        <f>(((4.68*N189)-(2.09*X189))-80.99)</f>
        <v>166.24699999999996</v>
      </c>
      <c r="P189">
        <v>47.5</v>
      </c>
      <c r="Q189">
        <v>38.299999999999997</v>
      </c>
      <c r="R189">
        <v>6.2</v>
      </c>
      <c r="S189">
        <v>10</v>
      </c>
      <c r="T189">
        <v>3.2</v>
      </c>
      <c r="U189">
        <v>10.199999999999999</v>
      </c>
      <c r="V189">
        <v>6.1</v>
      </c>
      <c r="W189">
        <v>14.6</v>
      </c>
      <c r="X189">
        <v>12.7</v>
      </c>
      <c r="Y189">
        <v>3.8</v>
      </c>
      <c r="Z189">
        <f>SUM(R189:Y189)</f>
        <v>66.8</v>
      </c>
      <c r="AA189" s="6">
        <f>((0.1051*SUM(R189:S189,V189:Y189))+2.585)</f>
        <v>8.1973399999999987</v>
      </c>
      <c r="AB189" s="6">
        <f>Anthropometry[[#This Row],[Upper arm girth - R]]-(PI()*(Anthropometry[[#This Row],[Triceps]]/10))</f>
        <v>26.552212554774329</v>
      </c>
      <c r="AC189" s="6">
        <f>Anthropometry[[#This Row],[Mid-thighs]]-PI()*(Anthropometry[[#This Row],[Thigh]]/10)</f>
        <v>54.510177329940966</v>
      </c>
      <c r="AD189" s="6">
        <f>Anthropometry[[#This Row],[Mid-calf]]-PI()*(Anthropometry[[#This Row],[Calf]]/10)</f>
        <v>37.106194791635879</v>
      </c>
      <c r="AE189" s="6"/>
      <c r="AF189" s="6"/>
    </row>
    <row r="190" spans="1:39" ht="14.45">
      <c r="A190" t="s">
        <v>44</v>
      </c>
      <c r="B190" s="12">
        <v>43347</v>
      </c>
      <c r="C190" s="14">
        <v>0.39583333333333331</v>
      </c>
      <c r="D190">
        <v>170.1</v>
      </c>
      <c r="E190">
        <v>65</v>
      </c>
      <c r="F190" s="6">
        <v>22.464912398938139</v>
      </c>
      <c r="G190" s="6">
        <v>56.404373999999997</v>
      </c>
      <c r="H190" s="6">
        <v>8.5956259999999993</v>
      </c>
      <c r="J190">
        <v>85.5</v>
      </c>
      <c r="K190">
        <v>27.5</v>
      </c>
      <c r="M190">
        <v>97.7</v>
      </c>
      <c r="N190">
        <v>54</v>
      </c>
      <c r="O190" s="6">
        <v>138.28999999999996</v>
      </c>
      <c r="P190">
        <v>44</v>
      </c>
      <c r="Q190">
        <v>35</v>
      </c>
      <c r="R190">
        <v>13.5</v>
      </c>
      <c r="S190">
        <v>7.4</v>
      </c>
      <c r="T190">
        <v>4.2</v>
      </c>
      <c r="U190">
        <v>7</v>
      </c>
      <c r="V190">
        <v>4.8</v>
      </c>
      <c r="W190">
        <v>8.4</v>
      </c>
      <c r="X190">
        <v>16</v>
      </c>
      <c r="Y190">
        <v>12.2</v>
      </c>
      <c r="Z190">
        <v>73.499999999999986</v>
      </c>
      <c r="AA190" s="6">
        <v>13.224039999999999</v>
      </c>
      <c r="AB190" s="6">
        <f>Anthropometry[[#This Row],[Upper arm girth - R]]-(PI()*(Anthropometry[[#This Row],[Triceps]]/10))</f>
        <v>23.25884991765378</v>
      </c>
      <c r="AC190" s="6">
        <f>Anthropometry[[#This Row],[Mid-thighs]]-PI()*(Anthropometry[[#This Row],[Thigh]]/10)</f>
        <v>48.973451754256331</v>
      </c>
      <c r="AD190" s="6">
        <f>Anthropometry[[#This Row],[Mid-calf]]-PI()*(Anthropometry[[#This Row],[Calf]]/10)</f>
        <v>31.167256962620453</v>
      </c>
      <c r="AE190" s="6"/>
      <c r="AF190" s="6"/>
    </row>
    <row r="191" spans="1:39" ht="14.45">
      <c r="A191" t="s">
        <v>41</v>
      </c>
      <c r="B191" s="12">
        <v>43347</v>
      </c>
      <c r="C191" s="14">
        <v>0.51041666666666663</v>
      </c>
      <c r="D191">
        <v>177.6</v>
      </c>
      <c r="E191">
        <v>87.5</v>
      </c>
      <c r="G191" s="6">
        <v>81.173382500000002</v>
      </c>
      <c r="H191" s="6">
        <v>6.3266175000000002</v>
      </c>
      <c r="J191">
        <v>100.5</v>
      </c>
      <c r="K191">
        <v>31.5</v>
      </c>
      <c r="M191">
        <v>101.5</v>
      </c>
      <c r="N191">
        <v>60.7</v>
      </c>
      <c r="O191" s="6">
        <v>191.38200000000001</v>
      </c>
      <c r="P191">
        <v>48.5</v>
      </c>
      <c r="Q191">
        <v>37.700000000000003</v>
      </c>
      <c r="R191">
        <v>7.5</v>
      </c>
      <c r="S191">
        <v>8.1999999999999993</v>
      </c>
      <c r="T191">
        <v>3.5</v>
      </c>
      <c r="U191">
        <v>11</v>
      </c>
      <c r="V191">
        <v>5.8</v>
      </c>
      <c r="W191">
        <v>12.5</v>
      </c>
      <c r="X191">
        <v>5.6</v>
      </c>
      <c r="Y191">
        <v>4.5999999999999996</v>
      </c>
      <c r="Z191">
        <v>58.7</v>
      </c>
      <c r="AA191" s="6">
        <v>7.2304200000000005</v>
      </c>
      <c r="AB191" s="6">
        <f>Anthropometry[[#This Row],[Upper arm girth - R]]-(PI()*(Anthropometry[[#This Row],[Triceps]]/10))</f>
        <v>29.143805509807656</v>
      </c>
      <c r="AC191" s="6">
        <f>Anthropometry[[#This Row],[Mid-thighs]]-PI()*(Anthropometry[[#This Row],[Thigh]]/10)</f>
        <v>58.940708113989722</v>
      </c>
      <c r="AD191" s="6">
        <f>Anthropometry[[#This Row],[Mid-calf]]-PI()*(Anthropometry[[#This Row],[Calf]]/10)</f>
        <v>36.254867379348696</v>
      </c>
      <c r="AE191" s="6"/>
      <c r="AF191" s="6"/>
    </row>
    <row r="192" spans="1:39" ht="14.45">
      <c r="A192" t="s">
        <v>47</v>
      </c>
      <c r="B192" s="12">
        <v>42331</v>
      </c>
      <c r="C192" s="14">
        <v>0.67708333333333337</v>
      </c>
      <c r="D192">
        <v>173.4</v>
      </c>
      <c r="E192">
        <v>65.900000000000006</v>
      </c>
      <c r="F192" s="6">
        <v>21.917308887053029</v>
      </c>
      <c r="G192" s="6">
        <v>55.420529280000004</v>
      </c>
      <c r="H192" s="6">
        <v>10.479470719999998</v>
      </c>
      <c r="I192">
        <v>43.5</v>
      </c>
      <c r="J192">
        <v>87.5</v>
      </c>
      <c r="K192">
        <v>28</v>
      </c>
      <c r="M192">
        <v>97.2</v>
      </c>
      <c r="N192">
        <v>54</v>
      </c>
      <c r="O192" s="6">
        <v>127.63099999999999</v>
      </c>
      <c r="P192">
        <v>44.2</v>
      </c>
      <c r="Q192">
        <v>35.200000000000003</v>
      </c>
      <c r="R192">
        <v>19.8</v>
      </c>
      <c r="S192">
        <v>8.6</v>
      </c>
      <c r="T192">
        <v>7</v>
      </c>
      <c r="U192">
        <v>10.6</v>
      </c>
      <c r="V192">
        <v>6.5</v>
      </c>
      <c r="W192">
        <v>9.1999999999999993</v>
      </c>
      <c r="X192">
        <v>21.1</v>
      </c>
      <c r="Y192">
        <v>14.4</v>
      </c>
      <c r="Z192">
        <v>97.200000000000017</v>
      </c>
      <c r="AA192" s="6">
        <v>15.902079999999998</v>
      </c>
      <c r="AB192" s="6">
        <f>Anthropometry[[#This Row],[Upper arm girth - R]]-(PI()*(Anthropometry[[#This Row],[Triceps]]/10))</f>
        <v>21.779646545892209</v>
      </c>
      <c r="AC192" s="6">
        <f>Anthropometry[[#This Row],[Mid-thighs]]-PI()*(Anthropometry[[#This Row],[Thigh]]/10)</f>
        <v>47.371239500925533</v>
      </c>
      <c r="AD192" s="6">
        <f>Anthropometry[[#This Row],[Mid-calf]]-PI()*(Anthropometry[[#This Row],[Calf]]/10)</f>
        <v>30.676106578830701</v>
      </c>
      <c r="AE192" s="6"/>
      <c r="AF192" s="6"/>
    </row>
    <row r="193" spans="1:32" ht="14.45">
      <c r="A193" t="s">
        <v>40</v>
      </c>
      <c r="B193" s="12">
        <v>43347</v>
      </c>
      <c r="C193" s="14">
        <v>0.35416666666666669</v>
      </c>
      <c r="D193" s="6">
        <v>182.8</v>
      </c>
      <c r="E193">
        <v>85.7</v>
      </c>
      <c r="G193" s="6">
        <v>79.179275540000006</v>
      </c>
      <c r="H193" s="6">
        <v>6.5207244599999994</v>
      </c>
      <c r="J193">
        <v>96</v>
      </c>
      <c r="K193">
        <v>31</v>
      </c>
      <c r="M193">
        <v>101.4</v>
      </c>
      <c r="N193">
        <v>57.4</v>
      </c>
      <c r="O193" s="6">
        <v>177.19200000000001</v>
      </c>
      <c r="P193">
        <v>46.5</v>
      </c>
      <c r="Q193">
        <v>35.5</v>
      </c>
      <c r="R193">
        <v>6.2</v>
      </c>
      <c r="S193">
        <v>10.4</v>
      </c>
      <c r="T193">
        <v>2.7</v>
      </c>
      <c r="U193">
        <v>8</v>
      </c>
      <c r="V193">
        <v>5.8</v>
      </c>
      <c r="W193">
        <v>16.399999999999999</v>
      </c>
      <c r="X193">
        <v>5</v>
      </c>
      <c r="Y193">
        <v>4</v>
      </c>
      <c r="Z193">
        <v>58.5</v>
      </c>
      <c r="AA193" s="6">
        <v>7.6087799999999994</v>
      </c>
      <c r="AB193" s="6">
        <f>Anthropometry[[#This Row],[Upper arm girth - R]]-(PI()*(Anthropometry[[#This Row],[Triceps]]/10))</f>
        <v>29.052212554774329</v>
      </c>
      <c r="AC193" s="6">
        <f>Anthropometry[[#This Row],[Mid-thighs]]-PI()*(Anthropometry[[#This Row],[Thigh]]/10)</f>
        <v>55.8292036732051</v>
      </c>
      <c r="AD193" s="6">
        <f>Anthropometry[[#This Row],[Mid-calf]]-PI()*(Anthropometry[[#This Row],[Calf]]/10)</f>
        <v>34.243362938564083</v>
      </c>
      <c r="AE193" s="6"/>
      <c r="AF193" s="6"/>
    </row>
    <row r="194" spans="1:32" ht="14.45">
      <c r="A194" t="s">
        <v>47</v>
      </c>
      <c r="B194" s="12">
        <v>42353</v>
      </c>
      <c r="D194">
        <v>173.4</v>
      </c>
      <c r="E194">
        <v>64.8</v>
      </c>
      <c r="F194" s="6">
        <v>21.551466098346523</v>
      </c>
      <c r="G194" s="6">
        <v>62.480160000000005</v>
      </c>
      <c r="H194" s="6">
        <v>2.3198400000000001</v>
      </c>
      <c r="O194" s="6"/>
      <c r="Z194">
        <v>87</v>
      </c>
      <c r="AA194" s="6">
        <v>3.58</v>
      </c>
      <c r="AB194" s="6">
        <f>Anthropometry[[#This Row],[Upper arm girth - R]]-(PI()*(Anthropometry[[#This Row],[Triceps]]/10))</f>
        <v>0</v>
      </c>
      <c r="AC194" s="6">
        <f>Anthropometry[[#This Row],[Mid-thighs]]-PI()*(Anthropometry[[#This Row],[Thigh]]/10)</f>
        <v>0</v>
      </c>
      <c r="AD194" s="6">
        <f>Anthropometry[[#This Row],[Mid-calf]]-PI()*(Anthropometry[[#This Row],[Calf]]/10)</f>
        <v>0</v>
      </c>
      <c r="AE194" s="6"/>
      <c r="AF194" s="6"/>
    </row>
    <row r="195" spans="1:32" ht="14.45">
      <c r="A195" t="s">
        <v>45</v>
      </c>
      <c r="B195" s="12">
        <v>43378</v>
      </c>
      <c r="C195" s="14">
        <v>0.39583333333333331</v>
      </c>
      <c r="D195" s="6">
        <v>175.7</v>
      </c>
      <c r="E195">
        <v>78.3</v>
      </c>
      <c r="G195" s="6">
        <f>E195/100*(100-AA195)</f>
        <v>72.03784005</v>
      </c>
      <c r="H195" s="6">
        <f>E195/100*AA195</f>
        <v>6.2621599499999991</v>
      </c>
      <c r="J195">
        <v>91.5</v>
      </c>
      <c r="K195">
        <v>29</v>
      </c>
      <c r="M195">
        <v>98</v>
      </c>
      <c r="N195">
        <v>58.9</v>
      </c>
      <c r="O195" s="6">
        <f>(((4.68*N195)-(2.09*X195))-80.99)</f>
        <v>168.53699999999998</v>
      </c>
      <c r="P195">
        <v>47.9</v>
      </c>
      <c r="Q195">
        <v>38.299999999999997</v>
      </c>
      <c r="R195">
        <v>6.6</v>
      </c>
      <c r="S195">
        <v>9.6</v>
      </c>
      <c r="T195">
        <v>3.2</v>
      </c>
      <c r="U195">
        <v>13.2</v>
      </c>
      <c r="V195">
        <v>5.8</v>
      </c>
      <c r="W195">
        <v>13.2</v>
      </c>
      <c r="X195">
        <v>12.5</v>
      </c>
      <c r="Y195">
        <v>3.8</v>
      </c>
      <c r="Z195">
        <f>SUM(R195:Y195)</f>
        <v>67.899999999999991</v>
      </c>
      <c r="AA195" s="6">
        <f>((0.1051*SUM(R195:S195,V195:Y195))+2.585)</f>
        <v>7.9976500000000001</v>
      </c>
      <c r="AB195" s="6">
        <f>Anthropometry[[#This Row],[Upper arm girth - R]]-(PI()*(Anthropometry[[#This Row],[Triceps]]/10))</f>
        <v>26.926548848630738</v>
      </c>
      <c r="AC195" s="6">
        <f>Anthropometry[[#This Row],[Mid-thighs]]-PI()*(Anthropometry[[#This Row],[Thigh]]/10)</f>
        <v>54.973009183012756</v>
      </c>
      <c r="AD195" s="6">
        <f>Anthropometry[[#This Row],[Mid-calf]]-PI()*(Anthropometry[[#This Row],[Calf]]/10)</f>
        <v>37.106194791635879</v>
      </c>
      <c r="AE195" s="6"/>
      <c r="AF195" s="6"/>
    </row>
    <row r="196" spans="1:32" ht="14.45">
      <c r="A196" t="s">
        <v>44</v>
      </c>
      <c r="B196" s="12">
        <v>43378</v>
      </c>
      <c r="C196" s="14">
        <v>0.45833333333333331</v>
      </c>
      <c r="D196">
        <v>170.1</v>
      </c>
      <c r="E196">
        <v>66.400000000000006</v>
      </c>
      <c r="F196" s="6">
        <v>22.94877205060758</v>
      </c>
      <c r="G196" s="6">
        <v>57.310875840000001</v>
      </c>
      <c r="H196" s="6">
        <v>9.0891241600000008</v>
      </c>
      <c r="J196">
        <v>89</v>
      </c>
      <c r="K196">
        <v>27.5</v>
      </c>
      <c r="M196">
        <v>94</v>
      </c>
      <c r="N196">
        <v>53.5</v>
      </c>
      <c r="O196" s="6">
        <v>131.35199999999998</v>
      </c>
      <c r="P196">
        <v>44</v>
      </c>
      <c r="Q196">
        <v>35.200000000000003</v>
      </c>
      <c r="R196">
        <v>13.5</v>
      </c>
      <c r="S196">
        <v>7.5</v>
      </c>
      <c r="T196">
        <v>4.0999999999999996</v>
      </c>
      <c r="U196">
        <v>10</v>
      </c>
      <c r="V196">
        <v>5.5</v>
      </c>
      <c r="W196">
        <v>8.4</v>
      </c>
      <c r="X196">
        <v>18.2</v>
      </c>
      <c r="Y196">
        <v>12.2</v>
      </c>
      <c r="Z196">
        <v>79.400000000000006</v>
      </c>
      <c r="AA196" s="6">
        <v>13.68844</v>
      </c>
      <c r="AB196" s="6">
        <f>Anthropometry[[#This Row],[Upper arm girth - R]]-(PI()*(Anthropometry[[#This Row],[Triceps]]/10))</f>
        <v>23.25884991765378</v>
      </c>
      <c r="AC196" s="6">
        <f>Anthropometry[[#This Row],[Mid-thighs]]-PI()*(Anthropometry[[#This Row],[Thigh]]/10)</f>
        <v>47.782301370466577</v>
      </c>
      <c r="AD196" s="6">
        <f>Anthropometry[[#This Row],[Mid-calf]]-PI()*(Anthropometry[[#This Row],[Calf]]/10)</f>
        <v>31.367256962620456</v>
      </c>
      <c r="AE196" s="6"/>
      <c r="AF196" s="6"/>
    </row>
    <row r="197" spans="1:32" ht="14.45">
      <c r="A197" t="s">
        <v>39</v>
      </c>
      <c r="B197" s="12">
        <v>43378</v>
      </c>
      <c r="C197" s="14">
        <v>0.47222222222222227</v>
      </c>
      <c r="D197">
        <v>180.3</v>
      </c>
      <c r="E197">
        <v>87.1</v>
      </c>
      <c r="G197" s="6">
        <v>80.985388380000003</v>
      </c>
      <c r="H197" s="6">
        <v>6.1146116199999998</v>
      </c>
      <c r="J197">
        <v>95</v>
      </c>
      <c r="K197">
        <v>31.5</v>
      </c>
      <c r="M197">
        <v>100.5</v>
      </c>
      <c r="N197">
        <v>60.2</v>
      </c>
      <c r="O197" s="6">
        <v>185.90699999999998</v>
      </c>
      <c r="P197">
        <v>50</v>
      </c>
      <c r="Q197">
        <v>40.5</v>
      </c>
      <c r="R197">
        <v>6.6</v>
      </c>
      <c r="S197">
        <v>7.8</v>
      </c>
      <c r="T197">
        <v>3.4</v>
      </c>
      <c r="U197">
        <v>12</v>
      </c>
      <c r="V197">
        <v>5.4</v>
      </c>
      <c r="W197">
        <v>10.6</v>
      </c>
      <c r="X197">
        <v>7.1</v>
      </c>
      <c r="Y197">
        <v>4.7</v>
      </c>
      <c r="Z197" s="6">
        <v>57.6</v>
      </c>
      <c r="AA197" s="6">
        <v>7.0202200000000001</v>
      </c>
      <c r="AB197" s="6">
        <f>Anthropometry[[#This Row],[Upper arm girth - R]]-(PI()*(Anthropometry[[#This Row],[Triceps]]/10))</f>
        <v>29.426548848630738</v>
      </c>
      <c r="AC197" s="6">
        <f>Anthropometry[[#This Row],[Mid-thighs]]-PI()*(Anthropometry[[#This Row],[Thigh]]/10)</f>
        <v>57.96946921595125</v>
      </c>
      <c r="AD197" s="6">
        <f>Anthropometry[[#This Row],[Mid-calf]]-PI()*(Anthropometry[[#This Row],[Calf]]/10)</f>
        <v>39.0234514528128</v>
      </c>
      <c r="AE197" s="6"/>
      <c r="AF197" s="6"/>
    </row>
    <row r="198" spans="1:32" ht="14.45">
      <c r="A198" t="s">
        <v>41</v>
      </c>
      <c r="B198" s="12">
        <v>43378</v>
      </c>
      <c r="C198" s="14">
        <v>0.40625</v>
      </c>
      <c r="D198">
        <v>177.6</v>
      </c>
      <c r="E198">
        <v>88</v>
      </c>
      <c r="G198" s="6">
        <v>81.655727999999996</v>
      </c>
      <c r="H198" s="6">
        <v>6.3442719999999992</v>
      </c>
      <c r="J198">
        <v>97.3</v>
      </c>
      <c r="K198">
        <v>32.299999999999997</v>
      </c>
      <c r="M198">
        <v>102</v>
      </c>
      <c r="N198">
        <v>60.9</v>
      </c>
      <c r="O198" s="6">
        <v>192.10899999999998</v>
      </c>
      <c r="P198">
        <v>47</v>
      </c>
      <c r="Q198">
        <v>38</v>
      </c>
      <c r="R198">
        <v>8.1999999999999993</v>
      </c>
      <c r="S198">
        <v>8.1999999999999993</v>
      </c>
      <c r="T198">
        <v>3.3</v>
      </c>
      <c r="U198">
        <v>10.8</v>
      </c>
      <c r="V198">
        <v>5.9</v>
      </c>
      <c r="W198">
        <v>11.6</v>
      </c>
      <c r="X198">
        <v>5.7</v>
      </c>
      <c r="Y198">
        <v>4.4000000000000004</v>
      </c>
      <c r="Z198">
        <v>58.1</v>
      </c>
      <c r="AA198" s="6">
        <v>7.2093999999999996</v>
      </c>
      <c r="AB198" s="6">
        <f>Anthropometry[[#This Row],[Upper arm girth - R]]-(PI()*(Anthropometry[[#This Row],[Triceps]]/10))</f>
        <v>29.723894024056367</v>
      </c>
      <c r="AC198" s="6">
        <f>Anthropometry[[#This Row],[Mid-thighs]]-PI()*(Anthropometry[[#This Row],[Thigh]]/10)</f>
        <v>59.109292187453818</v>
      </c>
      <c r="AD198" s="6">
        <f>Anthropometry[[#This Row],[Mid-calf]]-PI()*(Anthropometry[[#This Row],[Calf]]/10)</f>
        <v>36.617699232420492</v>
      </c>
      <c r="AE198" s="6"/>
      <c r="AF198" s="6"/>
    </row>
    <row r="199" spans="1:32" ht="14.45">
      <c r="A199" t="s">
        <v>42</v>
      </c>
      <c r="B199" s="12">
        <v>43378</v>
      </c>
      <c r="C199" s="14">
        <v>0.375</v>
      </c>
      <c r="D199">
        <v>167.5</v>
      </c>
      <c r="E199">
        <v>65.3</v>
      </c>
      <c r="F199" s="6">
        <v>19.492537313432834</v>
      </c>
      <c r="G199" s="6">
        <v>57.968690640000005</v>
      </c>
      <c r="H199" s="6">
        <v>7.3313093599999997</v>
      </c>
      <c r="J199">
        <v>85.2</v>
      </c>
      <c r="K199">
        <v>26</v>
      </c>
      <c r="M199">
        <v>94</v>
      </c>
      <c r="N199">
        <v>55.2</v>
      </c>
      <c r="O199" s="6">
        <v>156.23700000000002</v>
      </c>
      <c r="P199">
        <v>47.9</v>
      </c>
      <c r="Q199">
        <v>36</v>
      </c>
      <c r="R199">
        <v>8.6</v>
      </c>
      <c r="S199">
        <v>6.6</v>
      </c>
      <c r="T199">
        <v>3.1</v>
      </c>
      <c r="U199">
        <v>9.9</v>
      </c>
      <c r="V199">
        <v>5.5</v>
      </c>
      <c r="W199">
        <v>9.1</v>
      </c>
      <c r="X199">
        <v>10.1</v>
      </c>
      <c r="Y199">
        <v>9.5</v>
      </c>
      <c r="Z199">
        <v>62.400000000000006</v>
      </c>
      <c r="AA199" s="6">
        <v>11.227119999999999</v>
      </c>
      <c r="AB199" s="6">
        <f>Anthropometry[[#This Row],[Upper arm girth - R]]-(PI()*(Anthropometry[[#This Row],[Triceps]]/10))</f>
        <v>23.298230317912779</v>
      </c>
      <c r="AC199" s="6">
        <f>Anthropometry[[#This Row],[Mid-thighs]]-PI()*(Anthropometry[[#This Row],[Thigh]]/10)</f>
        <v>52.026991419874314</v>
      </c>
      <c r="AD199" s="6">
        <f>Anthropometry[[#This Row],[Mid-calf]]-PI()*(Anthropometry[[#This Row],[Calf]]/10)</f>
        <v>33.015486979089694</v>
      </c>
      <c r="AE199" s="6"/>
      <c r="AF199" s="6"/>
    </row>
    <row r="200" spans="1:32" ht="14.45">
      <c r="A200" t="s">
        <v>40</v>
      </c>
      <c r="B200" s="12">
        <v>43378</v>
      </c>
      <c r="C200" s="14">
        <v>0.46875</v>
      </c>
      <c r="D200" s="6">
        <v>182.8</v>
      </c>
      <c r="E200">
        <v>85.4</v>
      </c>
      <c r="G200" s="6">
        <v>79.288050100000007</v>
      </c>
      <c r="H200" s="6">
        <v>6.1119499000000008</v>
      </c>
      <c r="J200">
        <v>96.4</v>
      </c>
      <c r="K200">
        <v>32</v>
      </c>
      <c r="M200">
        <v>102</v>
      </c>
      <c r="N200">
        <v>58</v>
      </c>
      <c r="O200" s="6">
        <v>179.16399999999999</v>
      </c>
      <c r="P200">
        <v>47</v>
      </c>
      <c r="Q200">
        <v>35.4</v>
      </c>
      <c r="R200">
        <v>5.4</v>
      </c>
      <c r="S200">
        <v>10.4</v>
      </c>
      <c r="T200">
        <v>2.6</v>
      </c>
      <c r="U200">
        <v>10</v>
      </c>
      <c r="V200">
        <v>4.9000000000000004</v>
      </c>
      <c r="W200">
        <v>13.2</v>
      </c>
      <c r="X200">
        <v>5.4</v>
      </c>
      <c r="Y200">
        <v>4.2</v>
      </c>
      <c r="Z200">
        <v>56.1</v>
      </c>
      <c r="AA200" s="6">
        <v>7.1568500000000004</v>
      </c>
      <c r="AB200" s="6">
        <f>Anthropometry[[#This Row],[Upper arm girth - R]]-(PI()*(Anthropometry[[#This Row],[Triceps]]/10))</f>
        <v>30.303539967061511</v>
      </c>
      <c r="AC200" s="6">
        <f>Anthropometry[[#This Row],[Mid-thighs]]-PI()*(Anthropometry[[#This Row],[Thigh]]/10)</f>
        <v>56.303539967061511</v>
      </c>
      <c r="AD200" s="6">
        <f>Anthropometry[[#This Row],[Mid-calf]]-PI()*(Anthropometry[[#This Row],[Calf]]/10)</f>
        <v>34.080531085492282</v>
      </c>
      <c r="AE200" s="6"/>
      <c r="AF200" s="6"/>
    </row>
    <row r="201" spans="1:32" ht="14.45">
      <c r="A201" t="s">
        <v>39</v>
      </c>
      <c r="B201" s="12">
        <v>43409</v>
      </c>
      <c r="C201" s="14">
        <v>0.4375</v>
      </c>
      <c r="D201">
        <v>180.3</v>
      </c>
      <c r="E201">
        <v>86.2</v>
      </c>
      <c r="G201" s="6">
        <v>79.967377960000007</v>
      </c>
      <c r="H201" s="6">
        <v>6.2326220400000008</v>
      </c>
      <c r="J201">
        <v>95</v>
      </c>
      <c r="K201">
        <v>33.5</v>
      </c>
      <c r="M201">
        <v>101</v>
      </c>
      <c r="N201">
        <v>61</v>
      </c>
      <c r="O201" s="6">
        <v>188.39699999999993</v>
      </c>
      <c r="P201">
        <v>50.5</v>
      </c>
      <c r="Q201">
        <v>40.700000000000003</v>
      </c>
      <c r="R201">
        <v>6.6</v>
      </c>
      <c r="S201">
        <v>7.6</v>
      </c>
      <c r="T201">
        <v>3.1</v>
      </c>
      <c r="U201">
        <v>12</v>
      </c>
      <c r="V201">
        <v>5.6</v>
      </c>
      <c r="W201">
        <v>12</v>
      </c>
      <c r="X201">
        <v>7.7</v>
      </c>
      <c r="Y201">
        <v>4.7</v>
      </c>
      <c r="Z201" s="6">
        <v>59.300000000000004</v>
      </c>
      <c r="AA201" s="6">
        <v>7.2304200000000005</v>
      </c>
      <c r="AB201" s="6">
        <f>Anthropometry[[#This Row],[Upper arm girth - R]]-(PI()*(Anthropometry[[#This Row],[Triceps]]/10))</f>
        <v>31.426548848630738</v>
      </c>
      <c r="AC201" s="6">
        <f>Anthropometry[[#This Row],[Mid-thighs]]-PI()*(Anthropometry[[#This Row],[Thigh]]/10)</f>
        <v>58.580973656735857</v>
      </c>
      <c r="AD201" s="6">
        <f>Anthropometry[[#This Row],[Mid-calf]]-PI()*(Anthropometry[[#This Row],[Calf]]/10)</f>
        <v>39.223451452812803</v>
      </c>
      <c r="AE201" s="6"/>
      <c r="AF201" s="6"/>
    </row>
    <row r="202" spans="1:32" ht="14.45">
      <c r="A202" t="s">
        <v>40</v>
      </c>
      <c r="B202" s="12">
        <v>43409</v>
      </c>
      <c r="C202" s="14">
        <v>0.42708333333333331</v>
      </c>
      <c r="D202" s="6">
        <v>182.8</v>
      </c>
      <c r="E202">
        <v>85.9</v>
      </c>
      <c r="G202" s="6">
        <v>79.553647870000006</v>
      </c>
      <c r="H202" s="6">
        <v>6.3463521300000005</v>
      </c>
      <c r="J202">
        <v>97.8</v>
      </c>
      <c r="K202">
        <v>31</v>
      </c>
      <c r="M202">
        <v>103</v>
      </c>
      <c r="N202">
        <v>58.7</v>
      </c>
      <c r="O202" s="6">
        <v>180.76799999999997</v>
      </c>
      <c r="P202">
        <v>47.5</v>
      </c>
      <c r="Q202">
        <v>35.4</v>
      </c>
      <c r="R202">
        <v>5.2</v>
      </c>
      <c r="S202">
        <v>10.199999999999999</v>
      </c>
      <c r="T202">
        <v>2.4</v>
      </c>
      <c r="U202">
        <v>12.4</v>
      </c>
      <c r="V202">
        <v>6</v>
      </c>
      <c r="W202">
        <v>14</v>
      </c>
      <c r="X202">
        <v>6.2</v>
      </c>
      <c r="Y202">
        <v>4.0999999999999996</v>
      </c>
      <c r="Z202">
        <v>60.5</v>
      </c>
      <c r="AA202" s="6">
        <v>7.3880699999999999</v>
      </c>
      <c r="AB202" s="6">
        <f>Anthropometry[[#This Row],[Upper arm girth - R]]-(PI()*(Anthropometry[[#This Row],[Triceps]]/10))</f>
        <v>29.366371820133306</v>
      </c>
      <c r="AC202" s="6">
        <f>Anthropometry[[#This Row],[Mid-thighs]]-PI()*(Anthropometry[[#This Row],[Thigh]]/10)</f>
        <v>56.752212554774331</v>
      </c>
      <c r="AD202" s="6">
        <f>Anthropometry[[#This Row],[Mid-calf]]-PI()*(Anthropometry[[#This Row],[Calf]]/10)</f>
        <v>34.111947012028182</v>
      </c>
      <c r="AE202" s="6"/>
      <c r="AF202" s="6"/>
    </row>
    <row r="203" spans="1:32" ht="14.45">
      <c r="A203" t="s">
        <v>47</v>
      </c>
      <c r="B203" s="12">
        <v>42405</v>
      </c>
      <c r="C203" s="14">
        <v>0.44444444444444442</v>
      </c>
      <c r="D203">
        <v>173.4</v>
      </c>
      <c r="E203">
        <v>63.9</v>
      </c>
      <c r="F203" s="6">
        <v>21.252140180313933</v>
      </c>
      <c r="G203" s="6">
        <v>54.569475359999998</v>
      </c>
      <c r="H203" s="6">
        <v>9.3305246399999984</v>
      </c>
      <c r="I203">
        <v>43</v>
      </c>
      <c r="J203">
        <v>81</v>
      </c>
      <c r="K203">
        <v>28</v>
      </c>
      <c r="M203">
        <v>93</v>
      </c>
      <c r="N203">
        <v>52.8</v>
      </c>
      <c r="O203" s="6">
        <v>127.658</v>
      </c>
      <c r="P203">
        <v>43.6</v>
      </c>
      <c r="Q203">
        <v>35</v>
      </c>
      <c r="R203">
        <v>17.2</v>
      </c>
      <c r="S203">
        <v>8</v>
      </c>
      <c r="T203">
        <v>7.4</v>
      </c>
      <c r="U203">
        <v>8.4</v>
      </c>
      <c r="V203">
        <v>5.2</v>
      </c>
      <c r="W203">
        <v>9.1999999999999993</v>
      </c>
      <c r="X203">
        <v>18.399999999999999</v>
      </c>
      <c r="Y203">
        <v>13.2</v>
      </c>
      <c r="Z203">
        <v>87.000000000000014</v>
      </c>
      <c r="AA203" s="6">
        <v>14.601759999999997</v>
      </c>
      <c r="AB203" s="6">
        <f>Anthropometry[[#This Row],[Upper arm girth - R]]-(PI()*(Anthropometry[[#This Row],[Triceps]]/10))</f>
        <v>22.596460635825558</v>
      </c>
      <c r="AC203" s="6">
        <f>Anthropometry[[#This Row],[Mid-thighs]]-PI()*(Anthropometry[[#This Row],[Thigh]]/10)</f>
        <v>47.019469517394782</v>
      </c>
      <c r="AD203" s="6">
        <f>Anthropometry[[#This Row],[Mid-calf]]-PI()*(Anthropometry[[#This Row],[Calf]]/10)</f>
        <v>30.853097697261475</v>
      </c>
      <c r="AE203" s="6"/>
      <c r="AF203" s="6"/>
    </row>
    <row r="204" spans="1:32" ht="14.45">
      <c r="A204" t="s">
        <v>47</v>
      </c>
      <c r="B204" s="12">
        <v>42417</v>
      </c>
      <c r="C204" s="14">
        <v>0.4548611111111111</v>
      </c>
      <c r="D204">
        <v>173.4</v>
      </c>
      <c r="E204">
        <v>64.8</v>
      </c>
      <c r="F204" s="6">
        <v>21.551466098346523</v>
      </c>
      <c r="G204" s="6">
        <v>55.307966399999998</v>
      </c>
      <c r="H204" s="6">
        <v>9.4920335999999992</v>
      </c>
      <c r="I204">
        <v>43.5</v>
      </c>
      <c r="J204">
        <v>81</v>
      </c>
      <c r="K204">
        <v>27.5</v>
      </c>
      <c r="M204">
        <v>96.2</v>
      </c>
      <c r="N204">
        <v>54</v>
      </c>
      <c r="O204" s="6">
        <v>130.34799999999996</v>
      </c>
      <c r="P204">
        <v>44.5</v>
      </c>
      <c r="Q204">
        <v>35</v>
      </c>
      <c r="R204">
        <v>15.6</v>
      </c>
      <c r="S204">
        <v>7.2</v>
      </c>
      <c r="T204">
        <v>7</v>
      </c>
      <c r="U204">
        <v>8.8000000000000007</v>
      </c>
      <c r="V204">
        <v>5.8</v>
      </c>
      <c r="W204">
        <v>9.1</v>
      </c>
      <c r="X204">
        <v>19.8</v>
      </c>
      <c r="Y204">
        <v>14</v>
      </c>
      <c r="Z204">
        <v>87.3</v>
      </c>
      <c r="AA204" s="6">
        <v>14.648199999999999</v>
      </c>
      <c r="AB204" s="6">
        <f>Anthropometry[[#This Row],[Upper arm girth - R]]-(PI()*(Anthropometry[[#This Row],[Triceps]]/10))</f>
        <v>22.599115460399922</v>
      </c>
      <c r="AC204" s="6">
        <f>Anthropometry[[#This Row],[Mid-thighs]]-PI()*(Anthropometry[[#This Row],[Thigh]]/10)</f>
        <v>47.779646545892206</v>
      </c>
      <c r="AD204" s="6">
        <f>Anthropometry[[#This Row],[Mid-calf]]-PI()*(Anthropometry[[#This Row],[Calf]]/10)</f>
        <v>30.60177028497429</v>
      </c>
      <c r="AE204" s="6"/>
      <c r="AF204" s="6"/>
    </row>
    <row r="205" spans="1:32" ht="14.45">
      <c r="A205" t="s">
        <v>47</v>
      </c>
      <c r="B205" s="12">
        <v>42417</v>
      </c>
      <c r="C205" s="14">
        <v>0.375</v>
      </c>
      <c r="D205">
        <v>174.4</v>
      </c>
      <c r="E205">
        <v>65.900000000000006</v>
      </c>
      <c r="F205" s="6">
        <v>21.666684201666531</v>
      </c>
      <c r="G205" s="6">
        <v>55.797978120000003</v>
      </c>
      <c r="H205" s="6">
        <v>10.102021879999999</v>
      </c>
      <c r="I205">
        <v>43</v>
      </c>
      <c r="J205">
        <v>83.5</v>
      </c>
      <c r="K205">
        <v>28.6</v>
      </c>
      <c r="M205">
        <v>97</v>
      </c>
      <c r="N205">
        <v>53.5</v>
      </c>
      <c r="O205" s="6">
        <v>128.63499999999999</v>
      </c>
      <c r="P205">
        <v>44.3</v>
      </c>
      <c r="Q205">
        <v>35.700000000000003</v>
      </c>
      <c r="R205">
        <v>17</v>
      </c>
      <c r="S205">
        <v>8.4</v>
      </c>
      <c r="T205">
        <v>8.4</v>
      </c>
      <c r="U205">
        <v>9</v>
      </c>
      <c r="V205">
        <v>6</v>
      </c>
      <c r="W205">
        <v>10.199999999999999</v>
      </c>
      <c r="X205">
        <v>19.5</v>
      </c>
      <c r="Y205">
        <v>14.8</v>
      </c>
      <c r="Z205">
        <v>93.3</v>
      </c>
      <c r="AA205" s="6">
        <v>15.329319999999997</v>
      </c>
      <c r="AB205" s="6">
        <f>Anthropometry[[#This Row],[Upper arm girth - R]]-(PI()*(Anthropometry[[#This Row],[Triceps]]/10))</f>
        <v>23.259292488897351</v>
      </c>
      <c r="AC205" s="6">
        <f>Anthropometry[[#This Row],[Mid-thighs]]-PI()*(Anthropometry[[#This Row],[Thigh]]/10)</f>
        <v>47.373894325499904</v>
      </c>
      <c r="AD205" s="6">
        <f>Anthropometry[[#This Row],[Mid-calf]]-PI()*(Anthropometry[[#This Row],[Calf]]/10)</f>
        <v>31.050442872687107</v>
      </c>
      <c r="AE205" s="6"/>
      <c r="AF205" s="6"/>
    </row>
    <row r="206" spans="1:32" ht="14.45">
      <c r="A206" t="s">
        <v>47</v>
      </c>
      <c r="B206" s="12">
        <v>42475</v>
      </c>
      <c r="C206" s="14">
        <v>0.60416666666666663</v>
      </c>
      <c r="D206">
        <v>173.4</v>
      </c>
      <c r="E206">
        <v>68.400000000000006</v>
      </c>
      <c r="F206" s="6">
        <v>22.748769770476891</v>
      </c>
      <c r="G206" s="6">
        <v>57.491212320000002</v>
      </c>
      <c r="H206" s="6">
        <v>10.90878768</v>
      </c>
      <c r="I206">
        <v>43.5</v>
      </c>
      <c r="J206">
        <v>84.5</v>
      </c>
      <c r="K206">
        <v>28</v>
      </c>
      <c r="M206">
        <v>99</v>
      </c>
      <c r="N206">
        <v>54.4</v>
      </c>
      <c r="O206" s="6">
        <v>128.87599999999998</v>
      </c>
      <c r="P206">
        <v>44</v>
      </c>
      <c r="Q206">
        <v>35.4</v>
      </c>
      <c r="R206">
        <v>17.399999999999999</v>
      </c>
      <c r="S206">
        <v>8.8000000000000007</v>
      </c>
      <c r="T206">
        <v>7.1</v>
      </c>
      <c r="U206">
        <v>13.4</v>
      </c>
      <c r="V206">
        <v>6.3</v>
      </c>
      <c r="W206">
        <v>11.8</v>
      </c>
      <c r="X206">
        <v>21.4</v>
      </c>
      <c r="Y206">
        <v>14.2</v>
      </c>
      <c r="Z206">
        <v>100.39999999999999</v>
      </c>
      <c r="AA206" s="6">
        <v>15.948519999999998</v>
      </c>
      <c r="AB206" s="6">
        <f>Anthropometry[[#This Row],[Upper arm girth - R]]-(PI()*(Anthropometry[[#This Row],[Triceps]]/10))</f>
        <v>22.533628782753759</v>
      </c>
      <c r="AC206" s="6">
        <f>Anthropometry[[#This Row],[Mid-thighs]]-PI()*(Anthropometry[[#This Row],[Thigh]]/10)</f>
        <v>47.67699172131784</v>
      </c>
      <c r="AD206" s="6">
        <f>Anthropometry[[#This Row],[Mid-calf]]-PI()*(Anthropometry[[#This Row],[Calf]]/10)</f>
        <v>30.938938431902493</v>
      </c>
      <c r="AE206" s="6"/>
      <c r="AF206" s="6"/>
    </row>
    <row r="207" spans="1:32" ht="14.45">
      <c r="A207" t="s">
        <v>47</v>
      </c>
      <c r="B207" s="12">
        <v>42502</v>
      </c>
      <c r="C207" s="14">
        <v>0.41666666666666669</v>
      </c>
      <c r="D207">
        <v>173.4</v>
      </c>
      <c r="E207">
        <v>68.900000000000006</v>
      </c>
      <c r="F207" s="6">
        <v>22.915061947161661</v>
      </c>
      <c r="G207" s="6">
        <v>57.228863640000007</v>
      </c>
      <c r="H207" s="6">
        <v>11.67113636</v>
      </c>
      <c r="I207">
        <v>44.2</v>
      </c>
      <c r="J207">
        <v>85.8</v>
      </c>
      <c r="K207">
        <v>29.5</v>
      </c>
      <c r="M207">
        <v>99</v>
      </c>
      <c r="N207">
        <v>55.2</v>
      </c>
      <c r="O207" s="6">
        <v>129.90300000000002</v>
      </c>
      <c r="P207">
        <v>44.8</v>
      </c>
      <c r="Q207">
        <v>36.200000000000003</v>
      </c>
      <c r="R207">
        <v>20</v>
      </c>
      <c r="S207">
        <v>9.1999999999999993</v>
      </c>
      <c r="T207">
        <v>8.8000000000000007</v>
      </c>
      <c r="U207">
        <v>15</v>
      </c>
      <c r="V207">
        <v>7.2</v>
      </c>
      <c r="W207">
        <v>12</v>
      </c>
      <c r="X207">
        <v>22.7</v>
      </c>
      <c r="Y207">
        <v>15.2</v>
      </c>
      <c r="Z207">
        <v>110.10000000000001</v>
      </c>
      <c r="AA207" s="6">
        <v>16.939239999999998</v>
      </c>
      <c r="AB207" s="6">
        <f>Anthropometry[[#This Row],[Upper arm girth - R]]-(PI()*(Anthropometry[[#This Row],[Triceps]]/10))</f>
        <v>23.216814692820414</v>
      </c>
      <c r="AC207" s="6">
        <f>Anthropometry[[#This Row],[Mid-thighs]]-PI()*(Anthropometry[[#This Row],[Thigh]]/10)</f>
        <v>48.068584676351172</v>
      </c>
      <c r="AD207" s="6">
        <f>Anthropometry[[#This Row],[Mid-calf]]-PI()*(Anthropometry[[#This Row],[Calf]]/10)</f>
        <v>31.424779166543516</v>
      </c>
      <c r="AE207" s="6"/>
      <c r="AF207" s="6"/>
    </row>
    <row r="208" spans="1:32" ht="14.45">
      <c r="A208" t="s">
        <v>47</v>
      </c>
      <c r="B208" s="12">
        <v>42513</v>
      </c>
      <c r="C208" s="14">
        <v>0.4375</v>
      </c>
      <c r="D208">
        <v>173.4</v>
      </c>
      <c r="E208">
        <v>68.5</v>
      </c>
      <c r="F208" s="6">
        <v>22.782028205813841</v>
      </c>
      <c r="G208" s="6">
        <v>57.5434524</v>
      </c>
      <c r="H208" s="6">
        <v>10.956547600000002</v>
      </c>
      <c r="I208">
        <v>44</v>
      </c>
      <c r="J208">
        <v>83.5</v>
      </c>
      <c r="K208">
        <v>29.5</v>
      </c>
      <c r="M208">
        <v>100.5</v>
      </c>
      <c r="N208">
        <v>55.3</v>
      </c>
      <c r="O208" s="6">
        <v>136.01399999999995</v>
      </c>
      <c r="P208" s="15"/>
      <c r="Q208">
        <v>36.200000000000003</v>
      </c>
      <c r="R208">
        <v>19.2</v>
      </c>
      <c r="S208">
        <v>9</v>
      </c>
      <c r="T208">
        <v>7.5</v>
      </c>
      <c r="U208">
        <v>12.5</v>
      </c>
      <c r="V208">
        <v>6.5</v>
      </c>
      <c r="W208">
        <v>11</v>
      </c>
      <c r="X208">
        <v>20</v>
      </c>
      <c r="Y208">
        <v>14.5</v>
      </c>
      <c r="Z208">
        <v>100.2</v>
      </c>
      <c r="AA208" s="6">
        <v>15.994960000000001</v>
      </c>
      <c r="AB208" s="6">
        <f>Anthropometry[[#This Row],[Upper arm girth - R]]-(PI()*(Anthropometry[[#This Row],[Triceps]]/10))</f>
        <v>23.468142105107596</v>
      </c>
      <c r="AC208" s="6">
        <f>Anthropometry[[#This Row],[Mid-thighs]]-PI()*(Anthropometry[[#This Row],[Thigh]]/10)</f>
        <v>49.016814692820411</v>
      </c>
      <c r="AD208" s="6">
        <f>Anthropometry[[#This Row],[Mid-calf]]-PI()*(Anthropometry[[#This Row],[Calf]]/10)</f>
        <v>31.644690652294802</v>
      </c>
      <c r="AE208" s="6"/>
      <c r="AF208" s="6"/>
    </row>
    <row r="209" spans="1:39" ht="14.45">
      <c r="A209" t="s">
        <v>45</v>
      </c>
      <c r="B209" s="12">
        <v>43563</v>
      </c>
      <c r="C209" s="14">
        <v>0.3125</v>
      </c>
      <c r="D209" s="6">
        <v>175.8</v>
      </c>
      <c r="E209">
        <v>80.3</v>
      </c>
      <c r="G209" s="6">
        <f>E209/100*(100-AA209)</f>
        <v>73.278680420000001</v>
      </c>
      <c r="H209" s="6">
        <f>E209/100*AA209</f>
        <v>7.0213195799999992</v>
      </c>
      <c r="K209">
        <v>30.7</v>
      </c>
      <c r="M209">
        <v>101.4</v>
      </c>
      <c r="N209">
        <v>60</v>
      </c>
      <c r="O209" s="6">
        <f>(((4.68*N209)-(2.09*X209))-80.99)</f>
        <v>174.72999999999996</v>
      </c>
      <c r="P209">
        <v>47.5</v>
      </c>
      <c r="Q209">
        <v>38.700000000000003</v>
      </c>
      <c r="R209">
        <v>6.2</v>
      </c>
      <c r="S209">
        <v>10.8</v>
      </c>
      <c r="T209">
        <v>3.3</v>
      </c>
      <c r="U209">
        <v>12.6</v>
      </c>
      <c r="V209">
        <v>5.5</v>
      </c>
      <c r="W209">
        <v>20</v>
      </c>
      <c r="X209">
        <v>12</v>
      </c>
      <c r="Y209">
        <v>4.0999999999999996</v>
      </c>
      <c r="Z209">
        <f>SUM(R209:Y209)</f>
        <v>74.5</v>
      </c>
      <c r="AA209" s="6">
        <f>((0.1051*SUM(R209:S209,V209:Y209))+2.585)</f>
        <v>8.7438599999999997</v>
      </c>
      <c r="AB209" s="6">
        <f>Anthropometry[[#This Row],[Upper arm girth - R]]-(PI()*(Anthropometry[[#This Row],[Triceps]]/10))</f>
        <v>28.752212554774328</v>
      </c>
      <c r="AC209" s="6">
        <f>Anthropometry[[#This Row],[Mid-thighs]]-PI()*(Anthropometry[[#This Row],[Thigh]]/10)</f>
        <v>56.230088815692248</v>
      </c>
      <c r="AD209" s="6">
        <f>Anthropometry[[#This Row],[Mid-calf]]-PI()*(Anthropometry[[#This Row],[Calf]]/10)</f>
        <v>37.411947012028186</v>
      </c>
      <c r="AE209" s="6"/>
      <c r="AF209" s="6"/>
    </row>
    <row r="210" spans="1:39" ht="14.45">
      <c r="A210" t="s">
        <v>47</v>
      </c>
      <c r="B210" s="12">
        <v>42523</v>
      </c>
      <c r="C210" s="14">
        <v>0.47916666666666669</v>
      </c>
      <c r="D210">
        <v>173.4</v>
      </c>
      <c r="E210">
        <v>69</v>
      </c>
      <c r="F210" s="6">
        <v>22.948320382498615</v>
      </c>
      <c r="G210" s="6">
        <v>57.65372279999999</v>
      </c>
      <c r="H210" s="6">
        <v>11.346277199999999</v>
      </c>
      <c r="I210">
        <v>43.7</v>
      </c>
      <c r="J210">
        <v>85</v>
      </c>
      <c r="K210">
        <v>29.5</v>
      </c>
      <c r="M210">
        <v>99.5</v>
      </c>
      <c r="N210">
        <v>54.7</v>
      </c>
      <c r="O210" s="6">
        <v>129.02600000000001</v>
      </c>
      <c r="P210">
        <v>45.2</v>
      </c>
      <c r="Q210">
        <v>36</v>
      </c>
      <c r="R210">
        <v>19</v>
      </c>
      <c r="S210">
        <v>8.9</v>
      </c>
      <c r="T210">
        <v>7.8</v>
      </c>
      <c r="U210">
        <v>12.5</v>
      </c>
      <c r="V210">
        <v>7</v>
      </c>
      <c r="W210">
        <v>11</v>
      </c>
      <c r="X210">
        <v>22</v>
      </c>
      <c r="Y210">
        <v>15.2</v>
      </c>
      <c r="Z210">
        <v>103.39999999999999</v>
      </c>
      <c r="AA210" s="6">
        <v>16.44388</v>
      </c>
      <c r="AB210" s="6">
        <f>Anthropometry[[#This Row],[Upper arm girth - R]]-(PI()*(Anthropometry[[#This Row],[Triceps]]/10))</f>
        <v>23.530973958179395</v>
      </c>
      <c r="AC210" s="6">
        <f>Anthropometry[[#This Row],[Mid-thighs]]-PI()*(Anthropometry[[#This Row],[Thigh]]/10)</f>
        <v>47.788496162102454</v>
      </c>
      <c r="AD210" s="6">
        <f>Anthropometry[[#This Row],[Mid-calf]]-PI()*(Anthropometry[[#This Row],[Calf]]/10)</f>
        <v>31.224779166543513</v>
      </c>
      <c r="AE210" s="6"/>
      <c r="AF210" s="6"/>
    </row>
    <row r="211" spans="1:39" ht="14.45">
      <c r="A211" t="s">
        <v>47</v>
      </c>
      <c r="B211" s="12">
        <v>42556</v>
      </c>
      <c r="C211" s="14">
        <v>0.54166666666666663</v>
      </c>
      <c r="D211">
        <v>173.4</v>
      </c>
      <c r="E211">
        <v>69</v>
      </c>
      <c r="F211" s="6">
        <v>22.948320382498615</v>
      </c>
      <c r="G211" s="6">
        <v>57.685766399999991</v>
      </c>
      <c r="H211" s="6">
        <v>11.3142336</v>
      </c>
      <c r="I211">
        <v>106</v>
      </c>
      <c r="J211">
        <v>84</v>
      </c>
      <c r="K211">
        <v>29.5</v>
      </c>
      <c r="M211">
        <v>100</v>
      </c>
      <c r="N211">
        <v>55</v>
      </c>
      <c r="O211" s="6">
        <v>129.59399999999999</v>
      </c>
      <c r="P211">
        <v>45</v>
      </c>
      <c r="Q211">
        <v>36</v>
      </c>
      <c r="R211">
        <v>19</v>
      </c>
      <c r="S211">
        <v>8.3000000000000007</v>
      </c>
      <c r="T211">
        <v>7.8</v>
      </c>
      <c r="U211">
        <v>12.8</v>
      </c>
      <c r="V211">
        <v>6.5</v>
      </c>
      <c r="W211">
        <v>9.8000000000000007</v>
      </c>
      <c r="X211">
        <v>22.4</v>
      </c>
      <c r="Y211">
        <v>16.8</v>
      </c>
      <c r="Z211">
        <v>103.39999999999999</v>
      </c>
      <c r="AA211" s="6">
        <v>16.39744</v>
      </c>
      <c r="AB211" s="6">
        <f>Anthropometry[[#This Row],[Upper arm girth - R]]-(PI()*(Anthropometry[[#This Row],[Triceps]]/10))</f>
        <v>23.530973958179395</v>
      </c>
      <c r="AC211" s="6">
        <f>Anthropometry[[#This Row],[Mid-thighs]]-PI()*(Anthropometry[[#This Row],[Thigh]]/10)</f>
        <v>47.962832455958861</v>
      </c>
      <c r="AD211" s="6">
        <f>Anthropometry[[#This Row],[Mid-calf]]-PI()*(Anthropometry[[#This Row],[Calf]]/10)</f>
        <v>30.722124341969149</v>
      </c>
      <c r="AE211" s="6"/>
      <c r="AF211" s="6"/>
    </row>
    <row r="212" spans="1:39" ht="14.45">
      <c r="A212" t="s">
        <v>39</v>
      </c>
      <c r="B212" s="12">
        <v>43564</v>
      </c>
      <c r="C212" s="14">
        <v>0.3125</v>
      </c>
      <c r="D212">
        <v>180.2</v>
      </c>
      <c r="E212">
        <v>87.1</v>
      </c>
      <c r="G212" s="6">
        <v>80.811458389999999</v>
      </c>
      <c r="H212" s="6">
        <v>6.2885416099999993</v>
      </c>
      <c r="K212">
        <v>33.299999999999997</v>
      </c>
      <c r="M212">
        <v>101</v>
      </c>
      <c r="N212">
        <v>61</v>
      </c>
      <c r="O212" s="6">
        <v>186.09799999999996</v>
      </c>
      <c r="P212">
        <v>49.6</v>
      </c>
      <c r="Q212">
        <v>41</v>
      </c>
      <c r="R212">
        <v>4.8</v>
      </c>
      <c r="S212">
        <v>8.6</v>
      </c>
      <c r="T212">
        <v>3.4</v>
      </c>
      <c r="U212">
        <v>12.3</v>
      </c>
      <c r="V212">
        <v>5.8</v>
      </c>
      <c r="W212">
        <v>12.1</v>
      </c>
      <c r="X212">
        <v>8.8000000000000007</v>
      </c>
      <c r="Y212">
        <v>4</v>
      </c>
      <c r="Z212" s="6">
        <v>59.8</v>
      </c>
      <c r="AA212" s="6">
        <v>7.2199099999999996</v>
      </c>
      <c r="AB212" s="6">
        <f>Anthropometry[[#This Row],[Upper arm girth - R]]-(PI()*(Anthropometry[[#This Row],[Triceps]]/10))</f>
        <v>31.792035526276898</v>
      </c>
      <c r="AC212" s="6">
        <f>Anthropometry[[#This Row],[Mid-thighs]]-PI()*(Anthropometry[[#This Row],[Thigh]]/10)</f>
        <v>58.235398464840983</v>
      </c>
      <c r="AD212" s="6">
        <f>Anthropometry[[#This Row],[Mid-calf]]-PI()*(Anthropometry[[#This Row],[Calf]]/10)</f>
        <v>39.743362938564083</v>
      </c>
      <c r="AE212" s="6"/>
      <c r="AF212" s="6"/>
    </row>
    <row r="213" spans="1:39" ht="14.45">
      <c r="A213" t="s">
        <v>47</v>
      </c>
      <c r="B213" s="12">
        <v>42649</v>
      </c>
      <c r="C213" s="14">
        <v>0.41666666666666669</v>
      </c>
      <c r="D213">
        <v>174.4</v>
      </c>
      <c r="E213">
        <v>69.099999999999994</v>
      </c>
      <c r="F213" s="6">
        <v>22.718784193249725</v>
      </c>
      <c r="G213" s="6">
        <v>56.678307599999997</v>
      </c>
      <c r="H213" s="6">
        <v>12.421692399999998</v>
      </c>
      <c r="I213">
        <v>44</v>
      </c>
      <c r="J213">
        <v>82</v>
      </c>
      <c r="K213">
        <v>30.5</v>
      </c>
      <c r="M213">
        <v>99.5</v>
      </c>
      <c r="N213">
        <v>56.2</v>
      </c>
      <c r="O213" s="6">
        <v>135.62800000000004</v>
      </c>
      <c r="P213" s="15"/>
      <c r="Q213">
        <v>36.5</v>
      </c>
      <c r="R213">
        <v>22.6</v>
      </c>
      <c r="S213">
        <v>9.8000000000000007</v>
      </c>
      <c r="T213">
        <v>8.8000000000000007</v>
      </c>
      <c r="U213">
        <v>16.2</v>
      </c>
      <c r="V213">
        <v>8.1</v>
      </c>
      <c r="W213">
        <v>14.2</v>
      </c>
      <c r="X213">
        <v>22.2</v>
      </c>
      <c r="Y213">
        <v>16.100000000000001</v>
      </c>
      <c r="Z213">
        <v>118</v>
      </c>
      <c r="AA213" s="6">
        <v>17.976399999999998</v>
      </c>
      <c r="AB213" s="6">
        <f>Anthropometry[[#This Row],[Upper arm girth - R]]-(PI()*(Anthropometry[[#This Row],[Triceps]]/10))</f>
        <v>23.400000602887069</v>
      </c>
      <c r="AC213" s="6">
        <f>Anthropometry[[#This Row],[Mid-thighs]]-PI()*(Anthropometry[[#This Row],[Thigh]]/10)</f>
        <v>49.225664309030662</v>
      </c>
      <c r="AD213" s="6">
        <f>Anthropometry[[#This Row],[Mid-calf]]-PI()*(Anthropometry[[#This Row],[Calf]]/10)</f>
        <v>31.442035827720431</v>
      </c>
      <c r="AE213" s="6"/>
      <c r="AF213" s="6"/>
    </row>
    <row r="214" spans="1:39" ht="14.45">
      <c r="A214" t="s">
        <v>40</v>
      </c>
      <c r="B214" s="12">
        <v>43564</v>
      </c>
      <c r="C214" s="14">
        <v>0.3263888888888889</v>
      </c>
      <c r="D214" s="6">
        <v>183.3</v>
      </c>
      <c r="E214">
        <v>86.3</v>
      </c>
      <c r="G214" s="6">
        <v>80.178059230000002</v>
      </c>
      <c r="H214" s="6">
        <v>6.1219407699999993</v>
      </c>
      <c r="K214">
        <v>32.200000000000003</v>
      </c>
      <c r="M214">
        <v>104.8</v>
      </c>
      <c r="N214">
        <v>58.6</v>
      </c>
      <c r="O214" s="6">
        <v>181.97199999999998</v>
      </c>
      <c r="P214">
        <v>52</v>
      </c>
      <c r="Q214">
        <v>35.4</v>
      </c>
      <c r="R214">
        <v>4.5999999999999996</v>
      </c>
      <c r="S214">
        <v>10</v>
      </c>
      <c r="T214">
        <v>3.3</v>
      </c>
      <c r="U214">
        <v>8.6</v>
      </c>
      <c r="V214">
        <v>5.0999999999999996</v>
      </c>
      <c r="W214">
        <v>14</v>
      </c>
      <c r="X214">
        <v>5.4</v>
      </c>
      <c r="Y214">
        <v>3.8</v>
      </c>
      <c r="Z214">
        <v>54.8</v>
      </c>
      <c r="AA214" s="6">
        <v>7.0937899999999994</v>
      </c>
      <c r="AB214" s="6">
        <f>Anthropometry[[#This Row],[Upper arm girth - R]]-(PI()*(Anthropometry[[#This Row],[Triceps]]/10))</f>
        <v>30.754867379348699</v>
      </c>
      <c r="AC214" s="6">
        <f>Anthropometry[[#This Row],[Mid-thighs]]-PI()*(Anthropometry[[#This Row],[Thigh]]/10)</f>
        <v>56.903539967061512</v>
      </c>
      <c r="AD214" s="6">
        <f>Anthropometry[[#This Row],[Mid-calf]]-PI()*(Anthropometry[[#This Row],[Calf]]/10)</f>
        <v>34.20619479163588</v>
      </c>
      <c r="AE214" s="6"/>
      <c r="AF214" s="6"/>
    </row>
    <row r="215" spans="1:39" ht="14.45">
      <c r="A215" t="s">
        <v>41</v>
      </c>
      <c r="B215" s="12">
        <v>43565</v>
      </c>
      <c r="C215" s="14">
        <v>0.33333333333333331</v>
      </c>
      <c r="D215">
        <v>176.9</v>
      </c>
      <c r="E215">
        <v>85.8</v>
      </c>
      <c r="G215" s="6">
        <v>79.848791880000007</v>
      </c>
      <c r="H215" s="6">
        <v>5.9512081199999995</v>
      </c>
      <c r="J215" s="11"/>
      <c r="K215">
        <v>32</v>
      </c>
      <c r="M215">
        <v>101.2</v>
      </c>
      <c r="N215">
        <v>60</v>
      </c>
      <c r="O215" s="6">
        <v>189.35999999999996</v>
      </c>
      <c r="P215">
        <v>47</v>
      </c>
      <c r="Q215">
        <v>37.700000000000003</v>
      </c>
      <c r="R215">
        <v>6.8</v>
      </c>
      <c r="S215">
        <v>7.8</v>
      </c>
      <c r="T215">
        <v>2.7</v>
      </c>
      <c r="U215">
        <v>10.8</v>
      </c>
      <c r="V215">
        <v>5.6</v>
      </c>
      <c r="W215">
        <v>11.7</v>
      </c>
      <c r="X215">
        <v>5</v>
      </c>
      <c r="Y215">
        <v>4.5</v>
      </c>
      <c r="Z215">
        <v>54.900000000000006</v>
      </c>
      <c r="AA215" s="6">
        <v>6.93614</v>
      </c>
      <c r="AB215" s="6">
        <f>Anthropometry[[#This Row],[Upper arm girth - R]]-(PI()*(Anthropometry[[#This Row],[Triceps]]/10))</f>
        <v>29.863716995558942</v>
      </c>
      <c r="AC215" s="6">
        <f>Anthropometry[[#This Row],[Mid-thighs]]-PI()*(Anthropometry[[#This Row],[Thigh]]/10)</f>
        <v>58.429203673205102</v>
      </c>
      <c r="AD215" s="6">
        <f>Anthropometry[[#This Row],[Mid-calf]]-PI()*(Anthropometry[[#This Row],[Calf]]/10)</f>
        <v>36.286283305884595</v>
      </c>
      <c r="AE215" s="6"/>
      <c r="AF215" s="6"/>
    </row>
    <row r="216" spans="1:39" ht="14.45">
      <c r="A216" t="s">
        <v>44</v>
      </c>
      <c r="B216" s="12">
        <v>43571</v>
      </c>
      <c r="C216" s="14">
        <v>0.36458333333333331</v>
      </c>
      <c r="D216">
        <v>171.1</v>
      </c>
      <c r="E216">
        <v>66</v>
      </c>
      <c r="F216" s="6">
        <v>22.544671754703042</v>
      </c>
      <c r="G216" s="6">
        <v>54.932486400000009</v>
      </c>
      <c r="H216" s="6">
        <v>11.0675136</v>
      </c>
      <c r="K216">
        <v>28.9</v>
      </c>
      <c r="M216">
        <v>97.4</v>
      </c>
      <c r="N216">
        <v>54</v>
      </c>
      <c r="O216" s="6">
        <v>119.27099999999997</v>
      </c>
      <c r="P216">
        <v>44.2</v>
      </c>
      <c r="Q216">
        <v>35.6</v>
      </c>
      <c r="R216">
        <v>17.2</v>
      </c>
      <c r="S216">
        <v>8.6</v>
      </c>
      <c r="T216">
        <v>4.8</v>
      </c>
      <c r="U216">
        <v>11.9</v>
      </c>
      <c r="V216">
        <v>5.5</v>
      </c>
      <c r="W216">
        <v>12.6</v>
      </c>
      <c r="X216">
        <v>25.1</v>
      </c>
      <c r="Y216">
        <v>16.2</v>
      </c>
      <c r="Z216">
        <v>101.9</v>
      </c>
      <c r="AA216" s="6">
        <v>16.76896</v>
      </c>
      <c r="AB216" s="6">
        <f>Anthropometry[[#This Row],[Upper arm girth - R]]-(PI()*(Anthropometry[[#This Row],[Triceps]]/10))</f>
        <v>23.496460635825557</v>
      </c>
      <c r="AC216" s="6">
        <f>Anthropometry[[#This Row],[Mid-thighs]]-PI()*(Anthropometry[[#This Row],[Thigh]]/10)</f>
        <v>46.114602439489616</v>
      </c>
      <c r="AD216" s="6">
        <f>Anthropometry[[#This Row],[Mid-calf]]-PI()*(Anthropometry[[#This Row],[Calf]]/10)</f>
        <v>30.510619901184537</v>
      </c>
      <c r="AE216" s="6"/>
      <c r="AF216" s="6"/>
    </row>
    <row r="217" spans="1:39" ht="14.45">
      <c r="A217" t="s">
        <v>47</v>
      </c>
      <c r="B217" s="12">
        <v>42720</v>
      </c>
      <c r="C217" s="14">
        <v>0.36458333333333331</v>
      </c>
      <c r="D217">
        <v>174.4</v>
      </c>
      <c r="E217">
        <v>70.400000000000006</v>
      </c>
      <c r="F217" s="6">
        <v>23.146199814830403</v>
      </c>
      <c r="G217" s="6">
        <v>57.973470720000009</v>
      </c>
      <c r="H217" s="6">
        <v>12.42652928</v>
      </c>
      <c r="I217">
        <v>44.2</v>
      </c>
      <c r="J217">
        <v>84.5</v>
      </c>
      <c r="K217">
        <v>30.8</v>
      </c>
      <c r="M217">
        <v>101</v>
      </c>
      <c r="N217">
        <v>55.5</v>
      </c>
      <c r="O217" s="6">
        <v>131.72500000000002</v>
      </c>
      <c r="P217">
        <v>45</v>
      </c>
      <c r="Q217">
        <v>36.6</v>
      </c>
      <c r="R217">
        <v>20.6</v>
      </c>
      <c r="S217">
        <v>10.8</v>
      </c>
      <c r="T217">
        <v>9.3000000000000007</v>
      </c>
      <c r="U217">
        <v>12</v>
      </c>
      <c r="V217">
        <v>7.8</v>
      </c>
      <c r="W217">
        <v>13.2</v>
      </c>
      <c r="X217">
        <v>22.5</v>
      </c>
      <c r="Y217">
        <v>16</v>
      </c>
      <c r="Z217">
        <v>112.2</v>
      </c>
      <c r="AA217" s="6">
        <v>17.651319999999998</v>
      </c>
      <c r="AB217" s="6">
        <f>Anthropometry[[#This Row],[Upper arm girth - R]]-(PI()*(Anthropometry[[#This Row],[Triceps]]/10))</f>
        <v>24.328319133605028</v>
      </c>
      <c r="AC217" s="6">
        <f>Anthropometry[[#This Row],[Mid-thighs]]-PI()*(Anthropometry[[#This Row],[Thigh]]/10)</f>
        <v>48.431416529422968</v>
      </c>
      <c r="AD217" s="6">
        <f>Anthropometry[[#This Row],[Mid-calf]]-PI()*(Anthropometry[[#This Row],[Calf]]/10)</f>
        <v>31.573451754256332</v>
      </c>
      <c r="AE217" s="6"/>
      <c r="AF217" s="6"/>
    </row>
    <row r="218" spans="1:39" ht="14.45">
      <c r="A218" t="s">
        <v>44</v>
      </c>
      <c r="B218" s="12">
        <v>43605</v>
      </c>
      <c r="C218" s="14">
        <v>0.35416666666666669</v>
      </c>
      <c r="D218">
        <v>171.1</v>
      </c>
      <c r="E218">
        <v>66.3</v>
      </c>
      <c r="F218" s="6">
        <v>22.647147535406237</v>
      </c>
      <c r="G218" s="6">
        <v>56.013501959999992</v>
      </c>
      <c r="H218" s="6">
        <v>10.286498039999998</v>
      </c>
      <c r="K218">
        <v>28.8</v>
      </c>
      <c r="M218">
        <v>98</v>
      </c>
      <c r="N218">
        <v>55</v>
      </c>
      <c r="O218" s="6">
        <v>127.08599999999997</v>
      </c>
      <c r="P218">
        <v>44.8</v>
      </c>
      <c r="Q218">
        <v>35.5</v>
      </c>
      <c r="R218">
        <v>12.2</v>
      </c>
      <c r="S218">
        <v>8.1999999999999993</v>
      </c>
      <c r="T218">
        <v>4.9000000000000004</v>
      </c>
      <c r="U218">
        <v>10.8</v>
      </c>
      <c r="V218">
        <v>5.2</v>
      </c>
      <c r="W218">
        <v>11.5</v>
      </c>
      <c r="X218">
        <v>23.6</v>
      </c>
      <c r="Y218">
        <v>16.399999999999999</v>
      </c>
      <c r="Z218">
        <v>92.800000000000011</v>
      </c>
      <c r="AA218" s="6">
        <v>15.515079999999999</v>
      </c>
      <c r="AB218" s="6">
        <f>Anthropometry[[#This Row],[Upper arm girth - R]]-(PI()*(Anthropometry[[#This Row],[Triceps]]/10))</f>
        <v>24.967256962620453</v>
      </c>
      <c r="AC218" s="6">
        <f>Anthropometry[[#This Row],[Mid-thighs]]-PI()*(Anthropometry[[#This Row],[Thigh]]/10)</f>
        <v>47.585841337528088</v>
      </c>
      <c r="AD218" s="6">
        <f>Anthropometry[[#This Row],[Mid-calf]]-PI()*(Anthropometry[[#This Row],[Calf]]/10)</f>
        <v>30.34778804811274</v>
      </c>
      <c r="AE218" s="6"/>
      <c r="AF218" s="6"/>
    </row>
    <row r="219" spans="1:39" ht="14.45">
      <c r="A219" t="s">
        <v>47</v>
      </c>
      <c r="B219" s="12">
        <v>42754</v>
      </c>
      <c r="C219" s="14">
        <v>0.39583333333333331</v>
      </c>
      <c r="D219">
        <v>174.4</v>
      </c>
      <c r="E219">
        <v>67.599999999999994</v>
      </c>
      <c r="F219" s="6">
        <v>22.225612322195101</v>
      </c>
      <c r="G219" s="6">
        <v>56.651368799999993</v>
      </c>
      <c r="H219" s="6">
        <v>10.948631199999998</v>
      </c>
      <c r="I219">
        <v>43</v>
      </c>
      <c r="J219">
        <v>83.5</v>
      </c>
      <c r="K219">
        <v>29</v>
      </c>
      <c r="M219">
        <v>98.8</v>
      </c>
      <c r="N219">
        <v>54.6</v>
      </c>
      <c r="O219" s="6">
        <v>128.55799999999999</v>
      </c>
      <c r="P219">
        <v>45.2</v>
      </c>
      <c r="Q219">
        <v>36</v>
      </c>
      <c r="R219">
        <v>18.2</v>
      </c>
      <c r="S219">
        <v>9.1999999999999993</v>
      </c>
      <c r="T219">
        <v>7.8</v>
      </c>
      <c r="U219">
        <v>10.4</v>
      </c>
      <c r="V219">
        <v>6.5</v>
      </c>
      <c r="W219">
        <v>10.6</v>
      </c>
      <c r="X219">
        <v>22</v>
      </c>
      <c r="Y219">
        <v>15</v>
      </c>
      <c r="Z219">
        <v>99.699999999999989</v>
      </c>
      <c r="AA219" s="6">
        <v>16.196199999999997</v>
      </c>
      <c r="AB219" s="6">
        <f>Anthropometry[[#This Row],[Upper arm girth - R]]-(PI()*(Anthropometry[[#This Row],[Triceps]]/10))</f>
        <v>23.282301370466577</v>
      </c>
      <c r="AC219" s="6">
        <f>Anthropometry[[#This Row],[Mid-thighs]]-PI()*(Anthropometry[[#This Row],[Thigh]]/10)</f>
        <v>47.688496162102453</v>
      </c>
      <c r="AD219" s="6">
        <f>Anthropometry[[#This Row],[Mid-calf]]-PI()*(Anthropometry[[#This Row],[Calf]]/10)</f>
        <v>31.287611019615312</v>
      </c>
      <c r="AE219" s="6"/>
      <c r="AF219" s="6"/>
    </row>
    <row r="220" spans="1:39" ht="14.45">
      <c r="A220" t="s">
        <v>40</v>
      </c>
      <c r="B220" s="12">
        <v>43605</v>
      </c>
      <c r="C220" s="14">
        <v>0.33333333333333331</v>
      </c>
      <c r="D220" s="6">
        <v>183.3</v>
      </c>
      <c r="E220">
        <v>86.7</v>
      </c>
      <c r="G220" s="6">
        <v>80.540571900000003</v>
      </c>
      <c r="H220" s="6">
        <v>6.1594281000000004</v>
      </c>
      <c r="K220">
        <v>32.799999999999997</v>
      </c>
      <c r="M220">
        <v>104.6</v>
      </c>
      <c r="N220">
        <v>58.8</v>
      </c>
      <c r="O220" s="6">
        <v>183.53499999999997</v>
      </c>
      <c r="P220">
        <v>47.4</v>
      </c>
      <c r="Q220">
        <v>35.5</v>
      </c>
      <c r="R220">
        <v>4.8</v>
      </c>
      <c r="S220">
        <v>10</v>
      </c>
      <c r="T220">
        <v>2.4</v>
      </c>
      <c r="U220">
        <v>9.8000000000000007</v>
      </c>
      <c r="V220">
        <v>4.5999999999999996</v>
      </c>
      <c r="W220">
        <v>14.6</v>
      </c>
      <c r="X220">
        <v>5.0999999999999996</v>
      </c>
      <c r="Y220">
        <v>3.9</v>
      </c>
      <c r="Z220">
        <v>55.2</v>
      </c>
      <c r="AA220" s="6">
        <v>7.1043000000000003</v>
      </c>
      <c r="AB220" s="6">
        <f>Anthropometry[[#This Row],[Upper arm girth - R]]-(PI()*(Anthropometry[[#This Row],[Triceps]]/10))</f>
        <v>31.292035526276898</v>
      </c>
      <c r="AC220" s="6">
        <f>Anthropometry[[#This Row],[Mid-thighs]]-PI()*(Anthropometry[[#This Row],[Thigh]]/10)</f>
        <v>57.197787746669199</v>
      </c>
      <c r="AD220" s="6">
        <f>Anthropometry[[#This Row],[Mid-calf]]-PI()*(Anthropometry[[#This Row],[Calf]]/10)</f>
        <v>34.274778865099982</v>
      </c>
      <c r="AE220" s="6"/>
      <c r="AF220" s="6"/>
    </row>
    <row r="221" spans="1:39" ht="14.45">
      <c r="A221" t="s">
        <v>45</v>
      </c>
      <c r="B221" s="12">
        <v>43606</v>
      </c>
      <c r="C221" s="14">
        <v>0.375</v>
      </c>
      <c r="D221" s="6">
        <v>175.8</v>
      </c>
      <c r="E221">
        <v>79.3</v>
      </c>
      <c r="G221" s="6">
        <f>E221/100*(100-AA221)</f>
        <v>73.141221009999995</v>
      </c>
      <c r="H221" s="6">
        <f>E221/100*AA221</f>
        <v>6.1587789899999992</v>
      </c>
      <c r="K221">
        <v>30.4</v>
      </c>
      <c r="M221">
        <v>102</v>
      </c>
      <c r="N221">
        <v>60</v>
      </c>
      <c r="O221" s="6">
        <f>(((4.68*N221)-(2.09*X221))-80.99)</f>
        <v>177.65599999999995</v>
      </c>
      <c r="P221">
        <v>48</v>
      </c>
      <c r="Q221">
        <v>38.799999999999997</v>
      </c>
      <c r="R221">
        <v>5.6</v>
      </c>
      <c r="S221">
        <v>9.6999999999999993</v>
      </c>
      <c r="T221">
        <v>3.1</v>
      </c>
      <c r="U221">
        <v>8.5</v>
      </c>
      <c r="V221">
        <v>4.7</v>
      </c>
      <c r="W221">
        <v>14.8</v>
      </c>
      <c r="X221">
        <v>10.6</v>
      </c>
      <c r="Y221">
        <v>3.9</v>
      </c>
      <c r="Z221">
        <f>SUM(R221:Y221)</f>
        <v>60.9</v>
      </c>
      <c r="AA221" s="6">
        <f>((0.1051*SUM(R221:S221,V221:Y221))+2.585)</f>
        <v>7.7664299999999997</v>
      </c>
      <c r="AB221" s="6">
        <f>Anthropometry[[#This Row],[Upper arm girth - R]]-(PI()*(Anthropometry[[#This Row],[Triceps]]/10))</f>
        <v>28.640708113989714</v>
      </c>
      <c r="AC221" s="6">
        <f>Anthropometry[[#This Row],[Mid-thighs]]-PI()*(Anthropometry[[#This Row],[Thigh]]/10)</f>
        <v>56.66991178719482</v>
      </c>
      <c r="AD221" s="6">
        <f>Anthropometry[[#This Row],[Mid-calf]]-PI()*(Anthropometry[[#This Row],[Calf]]/10)</f>
        <v>37.574778865099979</v>
      </c>
      <c r="AE221" s="6"/>
      <c r="AF221" s="6"/>
    </row>
    <row r="222" spans="1:39" ht="14.45">
      <c r="A222" t="s">
        <v>48</v>
      </c>
      <c r="B222" s="12">
        <v>43606</v>
      </c>
      <c r="C222" s="14">
        <v>0.35416666666666669</v>
      </c>
      <c r="D222">
        <v>185.1</v>
      </c>
      <c r="E222">
        <v>92.4</v>
      </c>
      <c r="G222" s="6">
        <v>84.272117160000008</v>
      </c>
      <c r="H222" s="6">
        <v>8.1278828399999981</v>
      </c>
      <c r="K222">
        <v>33.5</v>
      </c>
      <c r="M222">
        <v>107.5</v>
      </c>
      <c r="N222">
        <v>59.3</v>
      </c>
      <c r="O222" s="6">
        <v>176.67899999999992</v>
      </c>
      <c r="P222">
        <v>48</v>
      </c>
      <c r="Q222">
        <v>40.5</v>
      </c>
      <c r="R222">
        <v>9.8000000000000007</v>
      </c>
      <c r="S222">
        <v>10.1</v>
      </c>
      <c r="T222">
        <v>3.2</v>
      </c>
      <c r="U222">
        <v>13.8</v>
      </c>
      <c r="V222">
        <v>6.8</v>
      </c>
      <c r="W222">
        <v>16.100000000000001</v>
      </c>
      <c r="X222">
        <v>9.5</v>
      </c>
      <c r="Y222">
        <v>6.8</v>
      </c>
      <c r="Z222">
        <v>76.099999999999994</v>
      </c>
      <c r="AA222" s="6">
        <v>8.7964099999999981</v>
      </c>
      <c r="AB222" s="6">
        <f>Anthropometry[[#This Row],[Upper arm girth - R]]-(PI()*(Anthropometry[[#This Row],[Triceps]]/10))</f>
        <v>30.421239199482002</v>
      </c>
      <c r="AC222" s="6">
        <f>Anthropometry[[#This Row],[Mid-thighs]]-PI()*(Anthropometry[[#This Row],[Thigh]]/10)</f>
        <v>56.315486979089691</v>
      </c>
      <c r="AD222" s="6">
        <f>Anthropometry[[#This Row],[Mid-calf]]-PI()*(Anthropometry[[#This Row],[Calf]]/10)</f>
        <v>38.363716995558939</v>
      </c>
      <c r="AE222" s="6"/>
      <c r="AF222" s="6"/>
      <c r="AM222">
        <f>Anthropometry[[#This Row],[DEXA Pelvis (kg)]] + Anthropometry[[#This Row],[ DEXA LLM (kg)]]</f>
        <v>0</v>
      </c>
    </row>
    <row r="223" spans="1:39" ht="14.45">
      <c r="A223" t="s">
        <v>47</v>
      </c>
      <c r="B223" s="12">
        <v>42803</v>
      </c>
      <c r="C223" s="14">
        <v>0.36458333333333331</v>
      </c>
      <c r="D223">
        <v>174.4</v>
      </c>
      <c r="E223">
        <v>65.3</v>
      </c>
      <c r="F223" s="6">
        <v>21.469415453244675</v>
      </c>
      <c r="G223" s="6">
        <v>55.9874364</v>
      </c>
      <c r="H223" s="6">
        <v>9.3125635999999989</v>
      </c>
      <c r="I223">
        <v>43</v>
      </c>
      <c r="J223">
        <v>83</v>
      </c>
      <c r="K223">
        <v>27.5</v>
      </c>
      <c r="M223">
        <v>96</v>
      </c>
      <c r="N223">
        <v>53.3</v>
      </c>
      <c r="O223" s="6">
        <v>131.25199999999995</v>
      </c>
      <c r="P223">
        <v>44</v>
      </c>
      <c r="Q223">
        <v>35</v>
      </c>
      <c r="R223">
        <v>16.3</v>
      </c>
      <c r="S223">
        <v>8.1999999999999993</v>
      </c>
      <c r="T223">
        <v>7</v>
      </c>
      <c r="U223">
        <v>12</v>
      </c>
      <c r="V223">
        <v>6.3</v>
      </c>
      <c r="W223">
        <v>9</v>
      </c>
      <c r="X223">
        <v>17.8</v>
      </c>
      <c r="Y223">
        <v>11.4</v>
      </c>
      <c r="Z223">
        <v>88</v>
      </c>
      <c r="AA223" s="6">
        <v>14.261199999999999</v>
      </c>
      <c r="AB223" s="6">
        <f>Anthropometry[[#This Row],[Upper arm girth - R]]-(PI()*(Anthropometry[[#This Row],[Triceps]]/10))</f>
        <v>22.379203974648636</v>
      </c>
      <c r="AC223" s="6">
        <f>Anthropometry[[#This Row],[Mid-thighs]]-PI()*(Anthropometry[[#This Row],[Thigh]]/10)</f>
        <v>47.707965076610165</v>
      </c>
      <c r="AD223" s="6">
        <f>Anthropometry[[#This Row],[Mid-calf]]-PI()*(Anthropometry[[#This Row],[Calf]]/10)</f>
        <v>31.418584374907635</v>
      </c>
      <c r="AE223" s="6"/>
      <c r="AF223" s="6"/>
    </row>
    <row r="224" spans="1:39" ht="14.45">
      <c r="A224" t="s">
        <v>41</v>
      </c>
      <c r="B224" s="12">
        <v>43606</v>
      </c>
      <c r="C224" s="14">
        <v>0.34375</v>
      </c>
      <c r="D224">
        <v>176.9</v>
      </c>
      <c r="E224">
        <v>86</v>
      </c>
      <c r="G224" s="6">
        <v>80.233768799999993</v>
      </c>
      <c r="H224" s="6">
        <v>5.7662312</v>
      </c>
      <c r="K224">
        <v>32</v>
      </c>
      <c r="M224">
        <v>102</v>
      </c>
      <c r="N224">
        <v>61</v>
      </c>
      <c r="O224" s="6">
        <v>194.03999999999996</v>
      </c>
      <c r="P224">
        <v>48</v>
      </c>
      <c r="Q224">
        <v>37.700000000000003</v>
      </c>
      <c r="R224">
        <v>5.8</v>
      </c>
      <c r="S224">
        <v>7.8</v>
      </c>
      <c r="T224">
        <v>3.4</v>
      </c>
      <c r="U224">
        <v>11.4</v>
      </c>
      <c r="V224">
        <v>5.6</v>
      </c>
      <c r="W224">
        <v>11</v>
      </c>
      <c r="X224">
        <v>5</v>
      </c>
      <c r="Y224">
        <v>4</v>
      </c>
      <c r="Z224">
        <v>54</v>
      </c>
      <c r="AA224" s="6">
        <v>6.7049200000000004</v>
      </c>
      <c r="AB224" s="6">
        <f>Anthropometry[[#This Row],[Upper arm girth - R]]-(PI()*(Anthropometry[[#This Row],[Triceps]]/10))</f>
        <v>30.17787626091792</v>
      </c>
      <c r="AC224" s="6">
        <f>Anthropometry[[#This Row],[Mid-thighs]]-PI()*(Anthropometry[[#This Row],[Thigh]]/10)</f>
        <v>59.429203673205102</v>
      </c>
      <c r="AD224" s="6">
        <f>Anthropometry[[#This Row],[Mid-calf]]-PI()*(Anthropometry[[#This Row],[Calf]]/10)</f>
        <v>36.443362938564086</v>
      </c>
      <c r="AE224" s="6"/>
      <c r="AF224" s="6"/>
    </row>
    <row r="225" spans="1:39" ht="14.45">
      <c r="A225" t="s">
        <v>39</v>
      </c>
      <c r="B225" s="12">
        <v>43609</v>
      </c>
      <c r="C225" s="14">
        <v>0.36458333333333331</v>
      </c>
      <c r="D225">
        <v>180.2</v>
      </c>
      <c r="E225">
        <v>86.6</v>
      </c>
      <c r="G225" s="6">
        <v>80.338456280000003</v>
      </c>
      <c r="H225" s="6">
        <v>6.2615437199999997</v>
      </c>
      <c r="K225">
        <v>32.5</v>
      </c>
      <c r="M225">
        <v>102</v>
      </c>
      <c r="N225">
        <v>60</v>
      </c>
      <c r="O225" s="6">
        <v>185.17999999999995</v>
      </c>
      <c r="P225">
        <v>50</v>
      </c>
      <c r="Q225">
        <v>40.6</v>
      </c>
      <c r="R225">
        <v>6</v>
      </c>
      <c r="S225">
        <v>8.4</v>
      </c>
      <c r="T225">
        <v>3.5</v>
      </c>
      <c r="U225">
        <v>13.5</v>
      </c>
      <c r="V225">
        <v>5.9</v>
      </c>
      <c r="W225">
        <v>13</v>
      </c>
      <c r="X225">
        <v>7</v>
      </c>
      <c r="Y225">
        <v>3.9</v>
      </c>
      <c r="Z225" s="6">
        <v>61.199999999999996</v>
      </c>
      <c r="AA225" s="6">
        <v>7.2304199999999996</v>
      </c>
      <c r="AB225" s="6">
        <f>Anthropometry[[#This Row],[Upper arm girth - R]]-(PI()*(Anthropometry[[#This Row],[Triceps]]/10))</f>
        <v>30.615044407846124</v>
      </c>
      <c r="AC225" s="6">
        <f>Anthropometry[[#This Row],[Mid-thighs]]-PI()*(Anthropometry[[#This Row],[Thigh]]/10)</f>
        <v>57.800885142487147</v>
      </c>
      <c r="AD225" s="6">
        <f>Anthropometry[[#This Row],[Mid-calf]]-PI()*(Anthropometry[[#This Row],[Calf]]/10)</f>
        <v>39.374778865099984</v>
      </c>
      <c r="AE225" s="6"/>
      <c r="AF225" s="6"/>
    </row>
    <row r="226" spans="1:39" ht="14.45">
      <c r="A226" t="s">
        <v>47</v>
      </c>
      <c r="B226" s="12">
        <v>42843</v>
      </c>
      <c r="C226" s="14">
        <v>0.625</v>
      </c>
      <c r="D226">
        <v>174.5</v>
      </c>
      <c r="E226">
        <v>64.900000000000006</v>
      </c>
      <c r="F226" s="6">
        <v>21.313453912529454</v>
      </c>
      <c r="G226" s="6">
        <v>56.096574600000004</v>
      </c>
      <c r="H226" s="6">
        <v>8.8034254000000001</v>
      </c>
      <c r="I226">
        <v>43.2</v>
      </c>
      <c r="J226">
        <v>84.3</v>
      </c>
      <c r="K226">
        <v>27</v>
      </c>
      <c r="M226">
        <v>94.4</v>
      </c>
      <c r="N226">
        <v>53</v>
      </c>
      <c r="O226" s="6">
        <v>131.93799999999999</v>
      </c>
      <c r="P226">
        <v>43.5</v>
      </c>
      <c r="Q226">
        <v>35.5</v>
      </c>
      <c r="R226">
        <v>13.4</v>
      </c>
      <c r="S226">
        <v>7.6</v>
      </c>
      <c r="T226">
        <v>6.4</v>
      </c>
      <c r="U226">
        <v>8.3000000000000007</v>
      </c>
      <c r="V226">
        <v>5.5</v>
      </c>
      <c r="W226">
        <v>9</v>
      </c>
      <c r="X226">
        <v>16.8</v>
      </c>
      <c r="Y226">
        <v>12.2</v>
      </c>
      <c r="Z226">
        <v>79.2</v>
      </c>
      <c r="AA226" s="6">
        <v>13.5646</v>
      </c>
      <c r="AB226" s="6">
        <f>Anthropometry[[#This Row],[Upper arm girth - R]]-(PI()*(Anthropometry[[#This Row],[Triceps]]/10))</f>
        <v>22.790265844189676</v>
      </c>
      <c r="AC226" s="6">
        <f>Anthropometry[[#This Row],[Mid-thighs]]-PI()*(Anthropometry[[#This Row],[Thigh]]/10)</f>
        <v>47.722124341969149</v>
      </c>
      <c r="AD226" s="6">
        <f>Anthropometry[[#This Row],[Mid-calf]]-PI()*(Anthropometry[[#This Row],[Calf]]/10)</f>
        <v>31.667256962620453</v>
      </c>
      <c r="AE226" s="6"/>
      <c r="AF226" s="6"/>
    </row>
    <row r="227" spans="1:39" ht="14.45">
      <c r="A227" t="s">
        <v>42</v>
      </c>
      <c r="B227" s="12">
        <v>43697</v>
      </c>
      <c r="C227" s="14">
        <v>0.4375</v>
      </c>
      <c r="D227">
        <v>167.5</v>
      </c>
      <c r="E227">
        <v>65.8</v>
      </c>
      <c r="F227" s="6">
        <v>19.641791044776117</v>
      </c>
      <c r="G227" s="6">
        <v>58.381997519999992</v>
      </c>
      <c r="H227" s="6">
        <v>7.4180024799999993</v>
      </c>
      <c r="K227">
        <v>28.2</v>
      </c>
      <c r="M227">
        <v>99.2</v>
      </c>
      <c r="N227">
        <v>54.8</v>
      </c>
      <c r="O227" s="6">
        <v>153.947</v>
      </c>
      <c r="P227">
        <v>45</v>
      </c>
      <c r="Q227">
        <v>36.6</v>
      </c>
      <c r="R227">
        <v>9.1999999999999993</v>
      </c>
      <c r="S227">
        <v>7.4</v>
      </c>
      <c r="T227">
        <v>2.9</v>
      </c>
      <c r="U227">
        <v>10.8</v>
      </c>
      <c r="V227">
        <v>4.8</v>
      </c>
      <c r="W227">
        <v>10.5</v>
      </c>
      <c r="X227">
        <v>10.3</v>
      </c>
      <c r="Y227">
        <v>7.5</v>
      </c>
      <c r="Z227">
        <v>63.400000000000006</v>
      </c>
      <c r="AA227" s="6">
        <v>11.27356</v>
      </c>
      <c r="AB227" s="6">
        <f>Anthropometry[[#This Row],[Upper arm girth - R]]-(PI()*(Anthropometry[[#This Row],[Triceps]]/10))</f>
        <v>25.309734758697388</v>
      </c>
      <c r="AC227" s="6">
        <f>Anthropometry[[#This Row],[Mid-thighs]]-PI()*(Anthropometry[[#This Row],[Thigh]]/10)</f>
        <v>51.564159566802509</v>
      </c>
      <c r="AD227" s="6">
        <f>Anthropometry[[#This Row],[Mid-calf]]-PI()*(Anthropometry[[#This Row],[Calf]]/10)</f>
        <v>34.243805509807657</v>
      </c>
      <c r="AE227" s="6"/>
      <c r="AF227" s="6"/>
    </row>
    <row r="228" spans="1:39" ht="14.45">
      <c r="A228" t="s">
        <v>45</v>
      </c>
      <c r="B228" s="12">
        <v>43739</v>
      </c>
      <c r="C228" s="14">
        <v>0.33333333333333331</v>
      </c>
      <c r="D228" s="6">
        <v>176.3</v>
      </c>
      <c r="E228">
        <v>82.8</v>
      </c>
      <c r="G228" s="6">
        <f>E228/100*(100-AA228)</f>
        <v>75.403442879999986</v>
      </c>
      <c r="H228" s="6">
        <f>E228/100*AA228</f>
        <v>7.3965571199999998</v>
      </c>
      <c r="K228">
        <v>31.5</v>
      </c>
      <c r="M228">
        <v>103.7</v>
      </c>
      <c r="N228">
        <v>62.1</v>
      </c>
      <c r="O228" s="6">
        <f>(((4.68*N228)-(2.09*X228))-80.99)</f>
        <v>181.63199999999995</v>
      </c>
      <c r="P228">
        <v>51.1</v>
      </c>
      <c r="Q228">
        <v>39.200000000000003</v>
      </c>
      <c r="R228">
        <v>6.6</v>
      </c>
      <c r="S228">
        <v>10.7</v>
      </c>
      <c r="T228">
        <v>3.6</v>
      </c>
      <c r="U228">
        <v>14</v>
      </c>
      <c r="V228">
        <v>6</v>
      </c>
      <c r="W228">
        <v>20</v>
      </c>
      <c r="X228">
        <v>13.4</v>
      </c>
      <c r="Y228">
        <v>3.7</v>
      </c>
      <c r="Z228">
        <f>SUM(R228:Y228)</f>
        <v>78</v>
      </c>
      <c r="AA228" s="6">
        <f>((0.1051*SUM(R228:S228,V228:Y228))+2.585)</f>
        <v>8.9330400000000001</v>
      </c>
      <c r="AB228" s="6">
        <f>Anthropometry[[#This Row],[Upper arm girth - R]]-(PI()*(Anthropometry[[#This Row],[Triceps]]/10))</f>
        <v>29.426548848630738</v>
      </c>
      <c r="AC228" s="6">
        <f>Anthropometry[[#This Row],[Mid-thighs]]-PI()*(Anthropometry[[#This Row],[Thigh]]/10)</f>
        <v>57.890265844189678</v>
      </c>
      <c r="AD228" s="6">
        <f>Anthropometry[[#This Row],[Mid-calf]]-PI()*(Anthropometry[[#This Row],[Calf]]/10)</f>
        <v>38.037610718171777</v>
      </c>
      <c r="AE228" s="6"/>
      <c r="AF228" s="6"/>
    </row>
    <row r="229" spans="1:39" ht="14.45">
      <c r="A229" t="s">
        <v>39</v>
      </c>
      <c r="B229" s="12">
        <v>43739</v>
      </c>
      <c r="C229" s="14">
        <v>0.36319444444444443</v>
      </c>
      <c r="D229">
        <v>180.7</v>
      </c>
      <c r="E229">
        <v>88.4</v>
      </c>
      <c r="G229" s="6">
        <v>81.776037720000005</v>
      </c>
      <c r="H229" s="6">
        <v>6.6239622799999998</v>
      </c>
      <c r="K229">
        <v>33.5</v>
      </c>
      <c r="M229">
        <v>102.3</v>
      </c>
      <c r="N229">
        <v>60.1</v>
      </c>
      <c r="O229" s="6">
        <v>183.97599999999994</v>
      </c>
      <c r="P229">
        <v>49.5</v>
      </c>
      <c r="Q229">
        <v>41.6</v>
      </c>
      <c r="R229">
        <v>6.2</v>
      </c>
      <c r="S229">
        <v>8.1</v>
      </c>
      <c r="T229">
        <v>2.8</v>
      </c>
      <c r="U229">
        <v>13.9</v>
      </c>
      <c r="V229">
        <v>6.6</v>
      </c>
      <c r="W229">
        <v>13.4</v>
      </c>
      <c r="X229">
        <v>7.8</v>
      </c>
      <c r="Y229">
        <v>4.5999999999999996</v>
      </c>
      <c r="Z229" s="6">
        <v>63.4</v>
      </c>
      <c r="AA229" s="6">
        <v>7.4931699999999992</v>
      </c>
      <c r="AB229" s="6">
        <f>Anthropometry[[#This Row],[Upper arm girth - R]]-(PI()*(Anthropometry[[#This Row],[Triceps]]/10))</f>
        <v>31.552212554774329</v>
      </c>
      <c r="AC229" s="6">
        <f>Anthropometry[[#This Row],[Mid-thighs]]-PI()*(Anthropometry[[#This Row],[Thigh]]/10)</f>
        <v>57.649557730199966</v>
      </c>
      <c r="AD229" s="6">
        <f>Anthropometry[[#This Row],[Mid-calf]]-PI()*(Anthropometry[[#This Row],[Calf]]/10)</f>
        <v>40.154867379348694</v>
      </c>
      <c r="AE229" s="6"/>
      <c r="AF229" s="6"/>
    </row>
    <row r="230" spans="1:39" ht="14.45">
      <c r="A230" t="s">
        <v>40</v>
      </c>
      <c r="B230" s="12">
        <v>43739</v>
      </c>
      <c r="C230" s="14">
        <v>0.35416666666666669</v>
      </c>
      <c r="D230" s="6">
        <v>183.4</v>
      </c>
      <c r="E230">
        <v>85.3</v>
      </c>
      <c r="G230" s="6">
        <v>79.132451740000008</v>
      </c>
      <c r="H230" s="6">
        <v>6.1675482600000002</v>
      </c>
      <c r="K230">
        <v>32.5</v>
      </c>
      <c r="M230">
        <v>105.5</v>
      </c>
      <c r="N230">
        <v>58.5</v>
      </c>
      <c r="O230" s="6">
        <v>182.54899999999998</v>
      </c>
      <c r="P230">
        <v>46.6</v>
      </c>
      <c r="Q230">
        <v>35.5</v>
      </c>
      <c r="R230">
        <v>6.5</v>
      </c>
      <c r="S230">
        <v>9.6999999999999993</v>
      </c>
      <c r="T230">
        <v>2.8</v>
      </c>
      <c r="U230">
        <v>8.5</v>
      </c>
      <c r="V230">
        <v>5.4</v>
      </c>
      <c r="W230">
        <v>14.1</v>
      </c>
      <c r="X230">
        <v>4.9000000000000004</v>
      </c>
      <c r="Y230">
        <v>3.6</v>
      </c>
      <c r="Z230">
        <v>55.5</v>
      </c>
      <c r="AA230" s="6">
        <v>7.2304200000000005</v>
      </c>
      <c r="AB230" s="6">
        <f>Anthropometry[[#This Row],[Upper arm girth - R]]-(PI()*(Anthropometry[[#This Row],[Triceps]]/10))</f>
        <v>30.457964775166634</v>
      </c>
      <c r="AC230" s="6">
        <f>Anthropometry[[#This Row],[Mid-thighs]]-PI()*(Anthropometry[[#This Row],[Thigh]]/10)</f>
        <v>56.960619599741001</v>
      </c>
      <c r="AD230" s="6">
        <f>Anthropometry[[#This Row],[Mid-calf]]-PI()*(Anthropometry[[#This Row],[Calf]]/10)</f>
        <v>34.369026644707674</v>
      </c>
      <c r="AE230" s="6"/>
      <c r="AF230" s="6"/>
    </row>
    <row r="231" spans="1:39" ht="14.45">
      <c r="A231" t="s">
        <v>48</v>
      </c>
      <c r="B231" s="12">
        <v>43740</v>
      </c>
      <c r="C231" s="14">
        <v>0.35416666666666669</v>
      </c>
      <c r="D231">
        <v>185.1</v>
      </c>
      <c r="E231">
        <v>92.9</v>
      </c>
      <c r="G231" s="6">
        <v>84.073961180000012</v>
      </c>
      <c r="H231" s="6">
        <v>8.8260388199999991</v>
      </c>
      <c r="K231">
        <v>35.5</v>
      </c>
      <c r="M231">
        <v>108.3</v>
      </c>
      <c r="N231">
        <v>59.5</v>
      </c>
      <c r="O231" s="6">
        <v>176.98799999999994</v>
      </c>
      <c r="P231">
        <v>48.5</v>
      </c>
      <c r="Q231">
        <v>40.5</v>
      </c>
      <c r="R231">
        <v>11.4</v>
      </c>
      <c r="S231">
        <v>10.8</v>
      </c>
      <c r="T231">
        <v>3.5</v>
      </c>
      <c r="U231">
        <v>13.8</v>
      </c>
      <c r="V231">
        <v>8.8000000000000007</v>
      </c>
      <c r="W231">
        <v>17.399999999999999</v>
      </c>
      <c r="X231">
        <v>9.8000000000000007</v>
      </c>
      <c r="Y231">
        <v>7.6</v>
      </c>
      <c r="Z231">
        <v>83.09999999999998</v>
      </c>
      <c r="AA231" s="6">
        <v>9.5005799999999994</v>
      </c>
      <c r="AB231" s="6">
        <f>Anthropometry[[#This Row],[Upper arm girth - R]]-(PI()*(Anthropometry[[#This Row],[Triceps]]/10))</f>
        <v>31.918584374907635</v>
      </c>
      <c r="AC231" s="6">
        <f>Anthropometry[[#This Row],[Mid-thighs]]-PI()*(Anthropometry[[#This Row],[Thigh]]/10)</f>
        <v>56.421239199482002</v>
      </c>
      <c r="AD231" s="6">
        <f>Anthropometry[[#This Row],[Mid-calf]]-PI()*(Anthropometry[[#This Row],[Calf]]/10)</f>
        <v>38.112389583271757</v>
      </c>
      <c r="AE231" s="6"/>
      <c r="AF231" s="6"/>
      <c r="AM231">
        <f>Anthropometry[[#This Row],[DEXA Pelvis (kg)]] + Anthropometry[[#This Row],[ DEXA LLM (kg)]]</f>
        <v>0</v>
      </c>
    </row>
    <row r="232" spans="1:39" ht="14.45">
      <c r="A232" t="s">
        <v>41</v>
      </c>
      <c r="B232" s="12">
        <v>43740</v>
      </c>
      <c r="C232" s="14">
        <v>0.33333333333333331</v>
      </c>
      <c r="D232">
        <v>176.9</v>
      </c>
      <c r="E232">
        <v>87.7</v>
      </c>
      <c r="G232" s="6">
        <v>82.400473169999998</v>
      </c>
      <c r="H232" s="6">
        <v>5.2995268300000005</v>
      </c>
      <c r="K232">
        <v>33</v>
      </c>
      <c r="M232">
        <v>102.7</v>
      </c>
      <c r="N232">
        <v>60.8</v>
      </c>
      <c r="O232" s="6">
        <v>194.77599999999995</v>
      </c>
      <c r="P232">
        <v>47.8</v>
      </c>
      <c r="Q232">
        <v>38</v>
      </c>
      <c r="R232">
        <v>6.4</v>
      </c>
      <c r="S232">
        <v>7</v>
      </c>
      <c r="T232">
        <v>2.2999999999999998</v>
      </c>
      <c r="U232">
        <v>7.4</v>
      </c>
      <c r="V232">
        <v>4.0999999999999996</v>
      </c>
      <c r="W232">
        <v>7.4</v>
      </c>
      <c r="X232">
        <v>4.2</v>
      </c>
      <c r="Y232">
        <v>3.8</v>
      </c>
      <c r="Z232">
        <v>42.6</v>
      </c>
      <c r="AA232" s="6">
        <v>6.0427900000000001</v>
      </c>
      <c r="AB232" s="6">
        <f>Anthropometry[[#This Row],[Upper arm girth - R]]-(PI()*(Anthropometry[[#This Row],[Triceps]]/10))</f>
        <v>30.989380701702533</v>
      </c>
      <c r="AC232" s="6">
        <f>Anthropometry[[#This Row],[Mid-thighs]]-PI()*(Anthropometry[[#This Row],[Thigh]]/10)</f>
        <v>59.480531085492281</v>
      </c>
      <c r="AD232" s="6">
        <f>Anthropometry[[#This Row],[Mid-calf]]-PI()*(Anthropometry[[#This Row],[Calf]]/10)</f>
        <v>36.806194791635882</v>
      </c>
      <c r="AE232" s="6"/>
      <c r="AF232" s="6"/>
    </row>
    <row r="233" spans="1:39" ht="14.45">
      <c r="A233" t="s">
        <v>42</v>
      </c>
      <c r="B233" s="12">
        <v>43740</v>
      </c>
      <c r="C233" s="14">
        <v>0.36458333333333331</v>
      </c>
      <c r="D233">
        <v>167.5</v>
      </c>
      <c r="E233">
        <v>66.8</v>
      </c>
      <c r="F233" s="6">
        <v>19.940298507462686</v>
      </c>
      <c r="G233" s="6">
        <v>59.134833599999993</v>
      </c>
      <c r="H233" s="6">
        <v>7.6651663999999977</v>
      </c>
      <c r="K233">
        <v>27.7</v>
      </c>
      <c r="M233">
        <v>97.7</v>
      </c>
      <c r="N233">
        <v>54.6</v>
      </c>
      <c r="O233" s="6">
        <v>151.548</v>
      </c>
      <c r="P233">
        <v>47</v>
      </c>
      <c r="Q233">
        <v>36.5</v>
      </c>
      <c r="R233">
        <v>10.199999999999999</v>
      </c>
      <c r="S233">
        <v>7.2</v>
      </c>
      <c r="T233">
        <v>3.2</v>
      </c>
      <c r="U233">
        <v>9.9</v>
      </c>
      <c r="V233">
        <v>5.2</v>
      </c>
      <c r="W233">
        <v>8.5</v>
      </c>
      <c r="X233">
        <v>11</v>
      </c>
      <c r="Y233">
        <v>8.9</v>
      </c>
      <c r="Z233">
        <v>64.100000000000009</v>
      </c>
      <c r="AA233" s="6">
        <v>11.474799999999998</v>
      </c>
      <c r="AB233" s="6">
        <f>Anthropometry[[#This Row],[Upper arm girth - R]]-(PI()*(Anthropometry[[#This Row],[Triceps]]/10))</f>
        <v>24.495575493338411</v>
      </c>
      <c r="AC233" s="6">
        <f>Anthropometry[[#This Row],[Mid-thighs]]-PI()*(Anthropometry[[#This Row],[Thigh]]/10)</f>
        <v>51.144248081051231</v>
      </c>
      <c r="AD233" s="6">
        <f>Anthropometry[[#This Row],[Mid-calf]]-PI()*(Anthropometry[[#This Row],[Calf]]/10)</f>
        <v>33.703982538305084</v>
      </c>
      <c r="AE233" s="6"/>
      <c r="AF233" s="6"/>
    </row>
    <row r="234" spans="1:39" ht="14.45">
      <c r="A234" t="s">
        <v>47</v>
      </c>
      <c r="B234" s="12">
        <v>42878</v>
      </c>
      <c r="C234" s="14">
        <v>0.375</v>
      </c>
      <c r="D234">
        <v>174.5</v>
      </c>
      <c r="E234">
        <v>64.5</v>
      </c>
      <c r="F234" s="6">
        <v>21.18209210105007</v>
      </c>
      <c r="G234" s="6">
        <v>56.3099706</v>
      </c>
      <c r="H234" s="6">
        <v>8.1900294000000002</v>
      </c>
      <c r="I234">
        <v>42.7</v>
      </c>
      <c r="J234">
        <v>81.5</v>
      </c>
      <c r="K234">
        <v>27.5</v>
      </c>
      <c r="M234">
        <v>95</v>
      </c>
      <c r="N234">
        <v>53.2</v>
      </c>
      <c r="O234" s="6">
        <v>135.38200000000001</v>
      </c>
      <c r="P234">
        <v>43</v>
      </c>
      <c r="Q234">
        <v>35.200000000000003</v>
      </c>
      <c r="R234">
        <v>13.5</v>
      </c>
      <c r="S234">
        <v>7.1</v>
      </c>
      <c r="T234">
        <v>5.6</v>
      </c>
      <c r="U234">
        <v>7</v>
      </c>
      <c r="V234">
        <v>5</v>
      </c>
      <c r="W234">
        <v>7.5</v>
      </c>
      <c r="X234">
        <v>15.6</v>
      </c>
      <c r="Y234">
        <v>10.199999999999999</v>
      </c>
      <c r="Z234">
        <v>71.5</v>
      </c>
      <c r="AA234" s="6">
        <v>12.69772</v>
      </c>
      <c r="AB234" s="6">
        <f>Anthropometry[[#This Row],[Upper arm girth - R]]-(PI()*(Anthropometry[[#This Row],[Triceps]]/10))</f>
        <v>23.25884991765378</v>
      </c>
      <c r="AC234" s="6">
        <f>Anthropometry[[#This Row],[Mid-thighs]]-PI()*(Anthropometry[[#This Row],[Thigh]]/10)</f>
        <v>48.299115460399925</v>
      </c>
      <c r="AD234" s="6">
        <f>Anthropometry[[#This Row],[Mid-calf]]-PI()*(Anthropometry[[#This Row],[Calf]]/10)</f>
        <v>31.995575493338414</v>
      </c>
      <c r="AE234" s="6"/>
      <c r="AF234" s="6"/>
    </row>
    <row r="235" spans="1:39" ht="14.45">
      <c r="A235" t="s">
        <v>47</v>
      </c>
      <c r="B235" s="12">
        <v>42954</v>
      </c>
      <c r="C235" s="14">
        <v>0.46875</v>
      </c>
      <c r="D235">
        <v>174.5</v>
      </c>
      <c r="E235">
        <v>64.8</v>
      </c>
      <c r="F235" s="6">
        <v>21.280613459659605</v>
      </c>
      <c r="G235" s="6">
        <v>55.759363200000003</v>
      </c>
      <c r="H235" s="6">
        <v>9.0406367999999997</v>
      </c>
      <c r="I235">
        <v>43</v>
      </c>
      <c r="J235">
        <v>84.2</v>
      </c>
      <c r="K235">
        <v>28.5</v>
      </c>
      <c r="M235">
        <v>95.5</v>
      </c>
      <c r="N235">
        <v>52</v>
      </c>
      <c r="O235" s="6">
        <v>126.83999999999999</v>
      </c>
      <c r="P235">
        <v>42.5</v>
      </c>
      <c r="Q235">
        <v>34.5</v>
      </c>
      <c r="R235">
        <v>15.4</v>
      </c>
      <c r="S235">
        <v>7.8</v>
      </c>
      <c r="T235">
        <v>6.2</v>
      </c>
      <c r="U235">
        <v>11.2</v>
      </c>
      <c r="V235">
        <v>5.9</v>
      </c>
      <c r="W235">
        <v>8.9</v>
      </c>
      <c r="X235">
        <v>17</v>
      </c>
      <c r="Y235">
        <v>12</v>
      </c>
      <c r="Z235">
        <v>84.399999999999991</v>
      </c>
      <c r="AA235" s="6">
        <v>13.951599999999999</v>
      </c>
      <c r="AB235" s="6">
        <f>Anthropometry[[#This Row],[Upper arm girth - R]]-(PI()*(Anthropometry[[#This Row],[Triceps]]/10))</f>
        <v>23.661947313471718</v>
      </c>
      <c r="AC235" s="6">
        <f>Anthropometry[[#This Row],[Mid-thighs]]-PI()*(Anthropometry[[#This Row],[Thigh]]/10)</f>
        <v>46.65929248889735</v>
      </c>
      <c r="AD235" s="6">
        <f>Anthropometry[[#This Row],[Mid-calf]]-PI()*(Anthropometry[[#This Row],[Calf]]/10)</f>
        <v>30.730088815692248</v>
      </c>
      <c r="AE235" s="6"/>
      <c r="AF235" s="6"/>
    </row>
    <row r="236" spans="1:39" ht="14.45">
      <c r="A236" t="s">
        <v>44</v>
      </c>
      <c r="B236" s="12">
        <v>43742</v>
      </c>
      <c r="C236" s="14">
        <v>0.35416666666666669</v>
      </c>
      <c r="D236">
        <v>171.1</v>
      </c>
      <c r="E236">
        <v>65.5</v>
      </c>
      <c r="F236" s="6">
        <v>22.373878786864385</v>
      </c>
      <c r="G236" s="6">
        <v>54.506191800000011</v>
      </c>
      <c r="H236" s="6">
        <v>10.993808199999998</v>
      </c>
      <c r="K236">
        <v>29.5</v>
      </c>
      <c r="M236">
        <v>99</v>
      </c>
      <c r="N236">
        <v>54</v>
      </c>
      <c r="O236" s="6">
        <v>123.65999999999998</v>
      </c>
      <c r="P236">
        <v>45</v>
      </c>
      <c r="Q236">
        <v>35.5</v>
      </c>
      <c r="R236">
        <v>19.600000000000001</v>
      </c>
      <c r="S236">
        <v>9.3000000000000007</v>
      </c>
      <c r="T236">
        <v>5</v>
      </c>
      <c r="U236">
        <v>11.2</v>
      </c>
      <c r="V236">
        <v>5.6</v>
      </c>
      <c r="W236">
        <v>11.8</v>
      </c>
      <c r="X236">
        <v>23</v>
      </c>
      <c r="Y236">
        <v>16</v>
      </c>
      <c r="Z236">
        <v>101.50000000000001</v>
      </c>
      <c r="AA236" s="6">
        <v>16.784439999999996</v>
      </c>
      <c r="AB236" s="6">
        <f>Anthropometry[[#This Row],[Upper arm girth - R]]-(PI()*(Anthropometry[[#This Row],[Triceps]]/10))</f>
        <v>23.342478398964005</v>
      </c>
      <c r="AC236" s="6">
        <f>Anthropometry[[#This Row],[Mid-thighs]]-PI()*(Anthropometry[[#This Row],[Thigh]]/10)</f>
        <v>46.774336896743478</v>
      </c>
      <c r="AD236" s="6">
        <f>Anthropometry[[#This Row],[Mid-calf]]-PI()*(Anthropometry[[#This Row],[Calf]]/10)</f>
        <v>30.473451754256331</v>
      </c>
      <c r="AE236" s="6"/>
      <c r="AF236" s="6"/>
      <c r="AG236" s="7"/>
    </row>
    <row r="237" spans="1:39" ht="14.45">
      <c r="A237" t="s">
        <v>47</v>
      </c>
      <c r="B237" s="12">
        <v>42976</v>
      </c>
      <c r="C237" s="14">
        <v>0.44791666666666669</v>
      </c>
      <c r="D237">
        <v>174.4</v>
      </c>
      <c r="E237">
        <v>67.599999999999994</v>
      </c>
      <c r="F237" s="6">
        <v>22.225612322195101</v>
      </c>
      <c r="G237" s="6">
        <v>57.446669279999988</v>
      </c>
      <c r="H237" s="6">
        <v>10.15333072</v>
      </c>
      <c r="I237">
        <v>44.1</v>
      </c>
      <c r="J237">
        <v>83</v>
      </c>
      <c r="K237">
        <v>29</v>
      </c>
      <c r="M237">
        <v>97.5</v>
      </c>
      <c r="N237">
        <v>54</v>
      </c>
      <c r="O237" s="6">
        <v>130.76599999999996</v>
      </c>
      <c r="P237">
        <v>45.5</v>
      </c>
      <c r="Q237">
        <v>35</v>
      </c>
      <c r="R237">
        <v>19.600000000000001</v>
      </c>
      <c r="S237">
        <v>7.6</v>
      </c>
      <c r="T237">
        <v>6.6</v>
      </c>
      <c r="U237">
        <v>11.2</v>
      </c>
      <c r="V237">
        <v>5.6</v>
      </c>
      <c r="W237">
        <v>9.5</v>
      </c>
      <c r="X237">
        <v>19.600000000000001</v>
      </c>
      <c r="Y237">
        <v>12</v>
      </c>
      <c r="Z237">
        <v>91.7</v>
      </c>
      <c r="AA237" s="6">
        <v>15.019720000000001</v>
      </c>
      <c r="AB237" s="6">
        <f>Anthropometry[[#This Row],[Upper arm girth - R]]-(PI()*(Anthropometry[[#This Row],[Triceps]]/10))</f>
        <v>22.842478398964005</v>
      </c>
      <c r="AC237" s="6">
        <f>Anthropometry[[#This Row],[Mid-thighs]]-PI()*(Anthropometry[[#This Row],[Thigh]]/10)</f>
        <v>47.842478398964005</v>
      </c>
      <c r="AD237" s="6">
        <f>Anthropometry[[#This Row],[Mid-calf]]-PI()*(Anthropometry[[#This Row],[Calf]]/10)</f>
        <v>31.230088815692248</v>
      </c>
      <c r="AE237" s="6"/>
      <c r="AF237" s="6"/>
    </row>
    <row r="238" spans="1:39" ht="14.45">
      <c r="A238" t="s">
        <v>47</v>
      </c>
      <c r="B238" s="12">
        <v>43033</v>
      </c>
      <c r="C238" s="14">
        <v>0.45833333333333331</v>
      </c>
      <c r="D238">
        <v>174.4</v>
      </c>
      <c r="E238">
        <v>71.5</v>
      </c>
      <c r="F238" s="6">
        <v>23.507859186937129</v>
      </c>
      <c r="G238" s="6">
        <v>59.355238799999995</v>
      </c>
      <c r="H238" s="6">
        <v>12.144761199999998</v>
      </c>
      <c r="I238">
        <v>44.8</v>
      </c>
      <c r="J238">
        <v>87.5</v>
      </c>
      <c r="K238">
        <v>30</v>
      </c>
      <c r="M238">
        <v>100.5</v>
      </c>
      <c r="N238">
        <v>56.5</v>
      </c>
      <c r="O238" s="6">
        <v>139.12199999999996</v>
      </c>
      <c r="P238">
        <v>46</v>
      </c>
      <c r="Q238">
        <v>36.299999999999997</v>
      </c>
      <c r="R238">
        <v>22.4</v>
      </c>
      <c r="S238">
        <v>9.6</v>
      </c>
      <c r="T238">
        <v>8.5</v>
      </c>
      <c r="U238">
        <v>14.4</v>
      </c>
      <c r="V238">
        <v>6.6</v>
      </c>
      <c r="W238">
        <v>12</v>
      </c>
      <c r="X238">
        <v>21.2</v>
      </c>
      <c r="Y238">
        <v>14.8</v>
      </c>
      <c r="Z238">
        <v>109.5</v>
      </c>
      <c r="AA238" s="6">
        <v>16.985679999999999</v>
      </c>
      <c r="AB238" s="6">
        <f>Anthropometry[[#This Row],[Upper arm girth - R]]-(PI()*(Anthropometry[[#This Row],[Triceps]]/10))</f>
        <v>22.962832455958864</v>
      </c>
      <c r="AC238" s="6">
        <f>Anthropometry[[#This Row],[Mid-thighs]]-PI()*(Anthropometry[[#This Row],[Thigh]]/10)</f>
        <v>49.839823574389641</v>
      </c>
      <c r="AD238" s="6">
        <f>Anthropometry[[#This Row],[Mid-calf]]-PI()*(Anthropometry[[#This Row],[Calf]]/10)</f>
        <v>31.650442872687101</v>
      </c>
      <c r="AE238" s="6"/>
      <c r="AF238" s="6"/>
    </row>
    <row r="239" spans="1:39" ht="14.45">
      <c r="A239" t="s">
        <v>47</v>
      </c>
      <c r="B239" s="12">
        <v>43111</v>
      </c>
      <c r="C239" s="14">
        <v>0.4375</v>
      </c>
      <c r="D239">
        <v>173.55</v>
      </c>
      <c r="E239">
        <v>71.2</v>
      </c>
      <c r="F239" s="6">
        <v>23.639090190516292</v>
      </c>
      <c r="G239" s="6">
        <v>59.899762560000006</v>
      </c>
      <c r="H239" s="6">
        <v>11.300237440000002</v>
      </c>
      <c r="J239">
        <v>85.5</v>
      </c>
      <c r="K239">
        <v>29.8</v>
      </c>
      <c r="M239">
        <v>100.8</v>
      </c>
      <c r="N239">
        <v>56.5</v>
      </c>
      <c r="O239" s="6">
        <v>139.12199999999996</v>
      </c>
      <c r="P239">
        <v>46.6</v>
      </c>
      <c r="Q239">
        <v>36</v>
      </c>
      <c r="R239">
        <v>20</v>
      </c>
      <c r="S239">
        <v>9</v>
      </c>
      <c r="T239">
        <v>8.5</v>
      </c>
      <c r="U239">
        <v>12.2</v>
      </c>
      <c r="V239">
        <v>6.6</v>
      </c>
      <c r="W239">
        <v>9.4</v>
      </c>
      <c r="X239">
        <v>21.2</v>
      </c>
      <c r="Y239">
        <v>13.2</v>
      </c>
      <c r="Z239">
        <v>100.10000000000001</v>
      </c>
      <c r="AA239" s="6">
        <v>15.871120000000001</v>
      </c>
      <c r="AB239" s="6">
        <f>Anthropometry[[#This Row],[Upper arm girth - R]]-(PI()*(Anthropometry[[#This Row],[Triceps]]/10))</f>
        <v>23.516814692820414</v>
      </c>
      <c r="AC239" s="6">
        <f>Anthropometry[[#This Row],[Mid-thighs]]-PI()*(Anthropometry[[#This Row],[Thigh]]/10)</f>
        <v>49.839823574389641</v>
      </c>
      <c r="AD239" s="6">
        <f>Anthropometry[[#This Row],[Mid-calf]]-PI()*(Anthropometry[[#This Row],[Calf]]/10)</f>
        <v>31.853097697261475</v>
      </c>
      <c r="AE239" s="6"/>
      <c r="AF239" s="6"/>
    </row>
    <row r="240" spans="1:39" ht="14.45">
      <c r="A240" t="s">
        <v>48</v>
      </c>
      <c r="B240" s="12">
        <v>43858</v>
      </c>
      <c r="C240" s="14">
        <v>0.41666666666666669</v>
      </c>
      <c r="D240">
        <v>185.8</v>
      </c>
      <c r="E240">
        <v>89.5</v>
      </c>
      <c r="G240" s="6">
        <v>80.846477700000008</v>
      </c>
      <c r="H240" s="6">
        <v>8.6535223000000006</v>
      </c>
      <c r="K240">
        <v>35.5</v>
      </c>
      <c r="M240">
        <v>106.7</v>
      </c>
      <c r="N240">
        <v>58</v>
      </c>
      <c r="O240" s="6">
        <v>169.96800000000002</v>
      </c>
      <c r="P240">
        <v>48</v>
      </c>
      <c r="Q240">
        <v>40.200000000000003</v>
      </c>
      <c r="R240">
        <v>13.8</v>
      </c>
      <c r="S240">
        <v>10.4</v>
      </c>
      <c r="T240">
        <v>3.4</v>
      </c>
      <c r="U240">
        <v>13.6</v>
      </c>
      <c r="V240">
        <v>8.1999999999999993</v>
      </c>
      <c r="W240">
        <v>18</v>
      </c>
      <c r="X240">
        <v>9.8000000000000007</v>
      </c>
      <c r="Y240">
        <v>7.2</v>
      </c>
      <c r="Z240">
        <v>84.4</v>
      </c>
      <c r="AA240" s="6">
        <v>9.6687399999999997</v>
      </c>
      <c r="AB240" s="6">
        <f>Anthropometry[[#This Row],[Upper arm girth - R]]-(PI()*(Anthropometry[[#This Row],[Triceps]]/10))</f>
        <v>31.164602138046085</v>
      </c>
      <c r="AC240" s="6">
        <f>Anthropometry[[#This Row],[Mid-thighs]]-PI()*(Anthropometry[[#This Row],[Thigh]]/10)</f>
        <v>54.921239199482002</v>
      </c>
      <c r="AD240" s="6">
        <f>Anthropometry[[#This Row],[Mid-calf]]-PI()*(Anthropometry[[#This Row],[Calf]]/10)</f>
        <v>37.93805328941535</v>
      </c>
      <c r="AE240" s="6"/>
      <c r="AF240" s="6"/>
      <c r="AM240">
        <f>Anthropometry[[#This Row],[DEXA Pelvis (kg)]] + Anthropometry[[#This Row],[ DEXA LLM (kg)]]</f>
        <v>0</v>
      </c>
    </row>
    <row r="241" spans="1:39" ht="14.45">
      <c r="A241" t="s">
        <v>47</v>
      </c>
      <c r="B241" s="12">
        <v>43150</v>
      </c>
      <c r="C241" s="14">
        <v>0.5</v>
      </c>
      <c r="D241">
        <v>173.55</v>
      </c>
      <c r="E241">
        <v>71.3</v>
      </c>
      <c r="F241" s="6">
        <v>23.672291159884995</v>
      </c>
      <c r="G241" s="6">
        <v>59.884556279999998</v>
      </c>
      <c r="H241" s="6">
        <v>11.415443719999999</v>
      </c>
      <c r="J241">
        <v>85.3</v>
      </c>
      <c r="K241">
        <v>30</v>
      </c>
      <c r="M241">
        <v>100.5</v>
      </c>
      <c r="N241">
        <v>56.9</v>
      </c>
      <c r="O241" s="6">
        <v>141.41199999999998</v>
      </c>
      <c r="P241">
        <v>47</v>
      </c>
      <c r="Q241">
        <v>37</v>
      </c>
      <c r="R241">
        <v>19</v>
      </c>
      <c r="S241">
        <v>10</v>
      </c>
      <c r="T241">
        <v>8.8000000000000007</v>
      </c>
      <c r="U241">
        <v>13.5</v>
      </c>
      <c r="V241">
        <v>6.5</v>
      </c>
      <c r="W241">
        <v>9.1999999999999993</v>
      </c>
      <c r="X241">
        <v>21</v>
      </c>
      <c r="Y241">
        <v>14.6</v>
      </c>
      <c r="Z241">
        <v>102.6</v>
      </c>
      <c r="AA241" s="6">
        <v>16.010439999999999</v>
      </c>
      <c r="AB241" s="6">
        <f>Anthropometry[[#This Row],[Upper arm girth - R]]-(PI()*(Anthropometry[[#This Row],[Triceps]]/10))</f>
        <v>24.030973958179395</v>
      </c>
      <c r="AC241" s="6">
        <f>Anthropometry[[#This Row],[Mid-thighs]]-PI()*(Anthropometry[[#This Row],[Thigh]]/10)</f>
        <v>50.302655427461431</v>
      </c>
      <c r="AD241" s="6">
        <f>Anthropometry[[#This Row],[Mid-calf]]-PI()*(Anthropometry[[#This Row],[Calf]]/10)</f>
        <v>32.413274725758903</v>
      </c>
      <c r="AE241" s="6"/>
      <c r="AF241" s="6"/>
    </row>
    <row r="242" spans="1:39" ht="14.45">
      <c r="A242" t="s">
        <v>39</v>
      </c>
      <c r="B242" s="12">
        <v>43858</v>
      </c>
      <c r="C242" s="14">
        <v>0.34375</v>
      </c>
      <c r="D242">
        <v>180.7</v>
      </c>
      <c r="E242">
        <v>86.2</v>
      </c>
      <c r="G242" s="6">
        <v>80.121391500000001</v>
      </c>
      <c r="H242" s="6">
        <v>6.0786084999999996</v>
      </c>
      <c r="K242">
        <v>32.5</v>
      </c>
      <c r="M242">
        <v>100.7</v>
      </c>
      <c r="N242">
        <v>60.6</v>
      </c>
      <c r="O242" s="6">
        <v>187.57</v>
      </c>
      <c r="P242">
        <v>50.5</v>
      </c>
      <c r="Q242">
        <v>40.700000000000003</v>
      </c>
      <c r="R242">
        <v>6.5</v>
      </c>
      <c r="S242">
        <v>7.6</v>
      </c>
      <c r="T242">
        <v>2.8</v>
      </c>
      <c r="U242">
        <v>10.4</v>
      </c>
      <c r="V242">
        <v>5.6</v>
      </c>
      <c r="W242">
        <v>11.3</v>
      </c>
      <c r="X242">
        <v>7.2</v>
      </c>
      <c r="Y242">
        <v>4.3</v>
      </c>
      <c r="Z242" s="6">
        <v>55.7</v>
      </c>
      <c r="AA242" s="6">
        <v>7.0517500000000002</v>
      </c>
      <c r="AB242" s="6">
        <f>Anthropometry[[#This Row],[Upper arm girth - R]]-(PI()*(Anthropometry[[#This Row],[Triceps]]/10))</f>
        <v>30.457964775166634</v>
      </c>
      <c r="AC242" s="6">
        <f>Anthropometry[[#This Row],[Mid-thighs]]-PI()*(Anthropometry[[#This Row],[Thigh]]/10)</f>
        <v>58.338053289415349</v>
      </c>
      <c r="AD242" s="6">
        <f>Anthropometry[[#This Row],[Mid-calf]]-PI()*(Anthropometry[[#This Row],[Calf]]/10)</f>
        <v>39.349115158956394</v>
      </c>
      <c r="AE242" s="6"/>
      <c r="AF242" s="6"/>
    </row>
    <row r="243" spans="1:39" ht="14.45">
      <c r="A243" t="s">
        <v>40</v>
      </c>
      <c r="B243" s="12">
        <v>43858</v>
      </c>
      <c r="C243" s="14">
        <v>0.34791666666666665</v>
      </c>
      <c r="D243" s="6">
        <v>183.4</v>
      </c>
      <c r="E243">
        <v>85.6</v>
      </c>
      <c r="G243" s="6">
        <v>79.239825839999995</v>
      </c>
      <c r="H243" s="6">
        <v>6.3601741599999997</v>
      </c>
      <c r="K243">
        <v>32</v>
      </c>
      <c r="M243">
        <v>103.4</v>
      </c>
      <c r="N243">
        <v>60</v>
      </c>
      <c r="O243" s="6">
        <v>188.10599999999994</v>
      </c>
      <c r="P243">
        <v>48</v>
      </c>
      <c r="Q243">
        <v>35.5</v>
      </c>
      <c r="R243">
        <v>6</v>
      </c>
      <c r="S243">
        <v>10</v>
      </c>
      <c r="T243">
        <v>2.8</v>
      </c>
      <c r="U243">
        <v>12.4</v>
      </c>
      <c r="V243">
        <v>6.2</v>
      </c>
      <c r="W243">
        <v>14.8</v>
      </c>
      <c r="X243">
        <v>5.6</v>
      </c>
      <c r="Y243">
        <v>3.5</v>
      </c>
      <c r="Z243">
        <v>61.300000000000004</v>
      </c>
      <c r="AA243" s="6">
        <v>7.43011</v>
      </c>
      <c r="AB243" s="6">
        <f>Anthropometry[[#This Row],[Upper arm girth - R]]-(PI()*(Anthropometry[[#This Row],[Triceps]]/10))</f>
        <v>30.115044407846124</v>
      </c>
      <c r="AC243" s="6">
        <f>Anthropometry[[#This Row],[Mid-thighs]]-PI()*(Anthropometry[[#This Row],[Thigh]]/10)</f>
        <v>58.240708113989719</v>
      </c>
      <c r="AD243" s="6">
        <f>Anthropometry[[#This Row],[Mid-calf]]-PI()*(Anthropometry[[#This Row],[Calf]]/10)</f>
        <v>34.400442571243573</v>
      </c>
      <c r="AE243" s="6"/>
      <c r="AF243" s="6"/>
    </row>
    <row r="244" spans="1:39" ht="14.45">
      <c r="A244" t="s">
        <v>41</v>
      </c>
      <c r="B244" s="12">
        <v>43860</v>
      </c>
      <c r="C244" s="14">
        <v>0.35416666666666669</v>
      </c>
      <c r="D244">
        <v>176.9</v>
      </c>
      <c r="E244">
        <v>88.7</v>
      </c>
      <c r="G244" s="6">
        <v>82.9578281</v>
      </c>
      <c r="H244" s="6">
        <v>5.7421718999999998</v>
      </c>
      <c r="K244">
        <v>34.299999999999997</v>
      </c>
      <c r="M244">
        <v>102</v>
      </c>
      <c r="N244">
        <v>61.7</v>
      </c>
      <c r="O244" s="6">
        <v>197.94299999999998</v>
      </c>
      <c r="P244">
        <v>48.1</v>
      </c>
      <c r="Q244">
        <v>38.5</v>
      </c>
      <c r="R244">
        <v>6.5</v>
      </c>
      <c r="S244">
        <v>7.4</v>
      </c>
      <c r="T244">
        <v>2.8</v>
      </c>
      <c r="U244">
        <v>8.8000000000000007</v>
      </c>
      <c r="V244">
        <v>5.5</v>
      </c>
      <c r="W244">
        <v>8.8000000000000007</v>
      </c>
      <c r="X244">
        <v>4.7</v>
      </c>
      <c r="Y244">
        <v>4.0999999999999996</v>
      </c>
      <c r="Z244">
        <v>48.6</v>
      </c>
      <c r="AA244" s="6">
        <v>6.4737</v>
      </c>
      <c r="AB244" s="6">
        <f>Anthropometry[[#This Row],[Upper arm girth - R]]-(PI()*(Anthropometry[[#This Row],[Triceps]]/10))</f>
        <v>32.257964775166634</v>
      </c>
      <c r="AC244" s="6">
        <f>Anthropometry[[#This Row],[Mid-thighs]]-PI()*(Anthropometry[[#This Row],[Thigh]]/10)</f>
        <v>60.223451452812803</v>
      </c>
      <c r="AD244" s="6">
        <f>Anthropometry[[#This Row],[Mid-calf]]-PI()*(Anthropometry[[#This Row],[Calf]]/10)</f>
        <v>37.211947012028183</v>
      </c>
      <c r="AE244" s="6"/>
      <c r="AF244" s="6"/>
    </row>
    <row r="245" spans="1:39" ht="14.45">
      <c r="A245" t="s">
        <v>47</v>
      </c>
      <c r="B245" s="12">
        <v>43174</v>
      </c>
      <c r="C245" s="14">
        <v>0.35416666666666669</v>
      </c>
      <c r="D245">
        <v>173.55</v>
      </c>
      <c r="E245">
        <v>71.2</v>
      </c>
      <c r="F245" s="6">
        <v>23.639090190516292</v>
      </c>
      <c r="G245" s="6">
        <v>59.92180608000001</v>
      </c>
      <c r="H245" s="6">
        <v>11.278193920000001</v>
      </c>
      <c r="K245">
        <v>30</v>
      </c>
      <c r="M245">
        <v>100.5</v>
      </c>
      <c r="N245">
        <v>57</v>
      </c>
      <c r="O245" s="6">
        <v>143.55200000000002</v>
      </c>
      <c r="P245">
        <v>46</v>
      </c>
      <c r="Q245">
        <v>36.5</v>
      </c>
      <c r="R245">
        <v>19</v>
      </c>
      <c r="S245">
        <v>8.6</v>
      </c>
      <c r="T245">
        <v>7.6</v>
      </c>
      <c r="U245">
        <v>11.2</v>
      </c>
      <c r="V245">
        <v>6.8</v>
      </c>
      <c r="W245">
        <v>10.6</v>
      </c>
      <c r="X245">
        <v>20.2</v>
      </c>
      <c r="Y245">
        <v>14</v>
      </c>
      <c r="Z245">
        <v>98</v>
      </c>
      <c r="AA245" s="6">
        <v>15.840159999999999</v>
      </c>
      <c r="AB245" s="6">
        <f>Anthropometry[[#This Row],[Upper arm girth - R]]-(PI()*(Anthropometry[[#This Row],[Triceps]]/10))</f>
        <v>24.030973958179395</v>
      </c>
      <c r="AC245" s="6">
        <f>Anthropometry[[#This Row],[Mid-thighs]]-PI()*(Anthropometry[[#This Row],[Thigh]]/10)</f>
        <v>50.653982839748622</v>
      </c>
      <c r="AD245" s="6">
        <f>Anthropometry[[#This Row],[Mid-calf]]-PI()*(Anthropometry[[#This Row],[Calf]]/10)</f>
        <v>32.101770284974293</v>
      </c>
      <c r="AE245" s="6"/>
      <c r="AF245" s="6"/>
    </row>
    <row r="246" spans="1:39" ht="14.45">
      <c r="A246" t="s">
        <v>42</v>
      </c>
      <c r="B246" s="12">
        <v>43861</v>
      </c>
      <c r="C246" s="14">
        <v>0.34375</v>
      </c>
      <c r="D246">
        <v>167.5</v>
      </c>
      <c r="E246">
        <v>66.400000000000006</v>
      </c>
      <c r="F246" s="6">
        <v>19.82089552238806</v>
      </c>
      <c r="G246" s="6">
        <v>59.81888352</v>
      </c>
      <c r="H246" s="6">
        <v>6.5811164800000004</v>
      </c>
      <c r="K246">
        <v>27.2</v>
      </c>
      <c r="M246">
        <v>97</v>
      </c>
      <c r="N246">
        <v>55.5</v>
      </c>
      <c r="O246" s="6">
        <v>163.28399999999999</v>
      </c>
      <c r="P246">
        <v>46.2</v>
      </c>
      <c r="Q246">
        <v>37</v>
      </c>
      <c r="R246">
        <v>6.5</v>
      </c>
      <c r="S246">
        <v>7.2</v>
      </c>
      <c r="T246">
        <v>3.2</v>
      </c>
      <c r="U246">
        <v>8.1999999999999993</v>
      </c>
      <c r="V246">
        <v>5.2</v>
      </c>
      <c r="W246">
        <v>6.6</v>
      </c>
      <c r="X246">
        <v>7.4</v>
      </c>
      <c r="Y246">
        <v>8</v>
      </c>
      <c r="Z246">
        <v>52.3</v>
      </c>
      <c r="AA246" s="6">
        <v>9.9113199999999999</v>
      </c>
      <c r="AB246" s="6">
        <f>Anthropometry[[#This Row],[Upper arm girth - R]]-(PI()*(Anthropometry[[#This Row],[Triceps]]/10))</f>
        <v>25.157964775166633</v>
      </c>
      <c r="AC246" s="6">
        <f>Anthropometry[[#This Row],[Mid-thighs]]-PI()*(Anthropometry[[#This Row],[Thigh]]/10)</f>
        <v>53.175221436343556</v>
      </c>
      <c r="AD246" s="6">
        <f>Anthropometry[[#This Row],[Mid-calf]]-PI()*(Anthropometry[[#This Row],[Calf]]/10)</f>
        <v>34.486725877128166</v>
      </c>
      <c r="AE246" s="6"/>
      <c r="AF246" s="6"/>
    </row>
    <row r="247" spans="1:39" ht="14.45">
      <c r="A247" t="s">
        <v>47</v>
      </c>
      <c r="B247" s="12">
        <v>43230</v>
      </c>
      <c r="C247" s="14">
        <v>0.40625</v>
      </c>
      <c r="D247">
        <v>173.55</v>
      </c>
      <c r="E247">
        <v>70.7</v>
      </c>
      <c r="F247" s="6">
        <v>23.473085343672778</v>
      </c>
      <c r="G247" s="6">
        <v>59.249286600000005</v>
      </c>
      <c r="H247" s="6">
        <v>11.4507134</v>
      </c>
      <c r="J247">
        <v>85.8</v>
      </c>
      <c r="K247">
        <v>30</v>
      </c>
      <c r="M247">
        <v>98.8</v>
      </c>
      <c r="N247">
        <v>57</v>
      </c>
      <c r="O247" s="6">
        <v>143.34300000000002</v>
      </c>
      <c r="P247">
        <v>46.5</v>
      </c>
      <c r="Q247">
        <v>36.200000000000003</v>
      </c>
      <c r="R247">
        <v>20.8</v>
      </c>
      <c r="S247">
        <v>8.8000000000000007</v>
      </c>
      <c r="T247">
        <v>7.9</v>
      </c>
      <c r="U247">
        <v>12.6</v>
      </c>
      <c r="V247">
        <v>7</v>
      </c>
      <c r="W247">
        <v>10.8</v>
      </c>
      <c r="X247">
        <v>20.3</v>
      </c>
      <c r="Y247">
        <v>13.8</v>
      </c>
      <c r="Z247">
        <v>102</v>
      </c>
      <c r="AA247" s="6">
        <v>16.196199999999997</v>
      </c>
      <c r="AB247" s="6">
        <f>Anthropometry[[#This Row],[Upper arm girth - R]]-(PI()*(Anthropometry[[#This Row],[Triceps]]/10))</f>
        <v>23.465487280533232</v>
      </c>
      <c r="AC247" s="6">
        <f>Anthropometry[[#This Row],[Mid-thighs]]-PI()*(Anthropometry[[#This Row],[Thigh]]/10)</f>
        <v>50.622566913212722</v>
      </c>
      <c r="AD247" s="6">
        <f>Anthropometry[[#This Row],[Mid-calf]]-PI()*(Anthropometry[[#This Row],[Calf]]/10)</f>
        <v>31.864602138046088</v>
      </c>
      <c r="AE247" s="6"/>
      <c r="AF247" s="6"/>
    </row>
    <row r="248" spans="1:39" ht="14.45">
      <c r="A248" t="s">
        <v>47</v>
      </c>
      <c r="B248" s="12">
        <v>43264</v>
      </c>
      <c r="C248" s="14">
        <v>0.375</v>
      </c>
      <c r="D248">
        <v>173.55</v>
      </c>
      <c r="E248">
        <v>71.599999999999994</v>
      </c>
      <c r="F248" s="6">
        <v>23.771894067991102</v>
      </c>
      <c r="G248" s="6">
        <v>60.380365919999996</v>
      </c>
      <c r="H248" s="6">
        <v>11.219634080000001</v>
      </c>
      <c r="J248">
        <v>88.5</v>
      </c>
      <c r="K248">
        <v>30.5</v>
      </c>
      <c r="M248">
        <v>100.5</v>
      </c>
      <c r="N248">
        <v>57.5</v>
      </c>
      <c r="O248" s="6">
        <v>146.30999999999995</v>
      </c>
      <c r="P248">
        <v>48</v>
      </c>
      <c r="Q248">
        <v>36.299999999999997</v>
      </c>
      <c r="R248">
        <v>18.2</v>
      </c>
      <c r="S248">
        <v>9.5</v>
      </c>
      <c r="T248">
        <v>8.1</v>
      </c>
      <c r="U248">
        <v>9.1999999999999993</v>
      </c>
      <c r="V248">
        <v>5.5</v>
      </c>
      <c r="W248">
        <v>10.5</v>
      </c>
      <c r="X248">
        <v>20</v>
      </c>
      <c r="Y248">
        <v>14.4</v>
      </c>
      <c r="Z248">
        <v>95.4</v>
      </c>
      <c r="AA248" s="6">
        <v>15.669880000000001</v>
      </c>
      <c r="AB248" s="6">
        <f>Anthropometry[[#This Row],[Upper arm girth - R]]-(PI()*(Anthropometry[[#This Row],[Triceps]]/10))</f>
        <v>24.782301370466577</v>
      </c>
      <c r="AC248" s="6">
        <f>Anthropometry[[#This Row],[Mid-thighs]]-PI()*(Anthropometry[[#This Row],[Thigh]]/10)</f>
        <v>51.216814692820414</v>
      </c>
      <c r="AD248" s="6">
        <f>Anthropometry[[#This Row],[Mid-calf]]-PI()*(Anthropometry[[#This Row],[Calf]]/10)</f>
        <v>31.776106578830696</v>
      </c>
      <c r="AE248" s="6"/>
      <c r="AF248" s="6"/>
    </row>
    <row r="249" spans="1:39" ht="14.45">
      <c r="A249" t="s">
        <v>47</v>
      </c>
      <c r="B249" s="12">
        <v>43347</v>
      </c>
      <c r="C249" s="14">
        <v>0.41666666666666669</v>
      </c>
      <c r="D249">
        <v>173.55</v>
      </c>
      <c r="E249">
        <v>73</v>
      </c>
      <c r="F249" s="6">
        <v>24.236707639152939</v>
      </c>
      <c r="G249" s="6">
        <v>61.199374800000001</v>
      </c>
      <c r="H249" s="6">
        <v>11.800625199999997</v>
      </c>
      <c r="J249">
        <v>86</v>
      </c>
      <c r="K249">
        <v>31</v>
      </c>
      <c r="M249">
        <v>101.5</v>
      </c>
      <c r="N249">
        <v>58</v>
      </c>
      <c r="O249" s="6">
        <v>146.56</v>
      </c>
      <c r="P249">
        <v>48</v>
      </c>
      <c r="Q249">
        <v>36.5</v>
      </c>
      <c r="R249">
        <v>18</v>
      </c>
      <c r="S249">
        <v>9</v>
      </c>
      <c r="T249">
        <v>8.1999999999999993</v>
      </c>
      <c r="U249">
        <v>14</v>
      </c>
      <c r="V249">
        <v>7</v>
      </c>
      <c r="W249">
        <v>11.5</v>
      </c>
      <c r="X249">
        <v>21</v>
      </c>
      <c r="Y249">
        <v>14.8</v>
      </c>
      <c r="Z249">
        <v>103.5</v>
      </c>
      <c r="AA249" s="6">
        <v>16.165239999999997</v>
      </c>
      <c r="AB249" s="6">
        <f>Anthropometry[[#This Row],[Upper arm girth - R]]-(PI()*(Anthropometry[[#This Row],[Triceps]]/10))</f>
        <v>25.345133223538372</v>
      </c>
      <c r="AC249" s="6">
        <f>Anthropometry[[#This Row],[Mid-thighs]]-PI()*(Anthropometry[[#This Row],[Thigh]]/10)</f>
        <v>51.402655427461433</v>
      </c>
      <c r="AD249" s="6">
        <f>Anthropometry[[#This Row],[Mid-calf]]-PI()*(Anthropometry[[#This Row],[Calf]]/10)</f>
        <v>31.850442872687104</v>
      </c>
      <c r="AE249" s="6"/>
      <c r="AF249" s="6"/>
    </row>
    <row r="250" spans="1:39" ht="14.45">
      <c r="A250" t="s">
        <v>44</v>
      </c>
      <c r="B250" s="12">
        <v>43997</v>
      </c>
      <c r="C250" s="14">
        <v>0.33333333333333331</v>
      </c>
      <c r="D250">
        <v>171.3</v>
      </c>
      <c r="E250">
        <v>67.400000000000006</v>
      </c>
      <c r="F250" s="6">
        <v>22.969163046637966</v>
      </c>
      <c r="G250" s="6">
        <v>56.139455040000001</v>
      </c>
      <c r="H250" s="6">
        <v>11.260544960000001</v>
      </c>
      <c r="K250">
        <v>29.8</v>
      </c>
      <c r="M250">
        <v>99.2</v>
      </c>
      <c r="N250">
        <v>55.8</v>
      </c>
      <c r="O250" s="6">
        <v>133.75599999999997</v>
      </c>
      <c r="P250">
        <v>45.5</v>
      </c>
      <c r="Q250">
        <v>35.6</v>
      </c>
      <c r="R250">
        <v>19</v>
      </c>
      <c r="S250">
        <v>9</v>
      </c>
      <c r="T250">
        <v>5</v>
      </c>
      <c r="U250">
        <v>13</v>
      </c>
      <c r="V250">
        <v>6.1</v>
      </c>
      <c r="W250">
        <v>12.8</v>
      </c>
      <c r="X250">
        <v>22.2</v>
      </c>
      <c r="Y250">
        <v>15.7</v>
      </c>
      <c r="Z250">
        <v>102.80000000000001</v>
      </c>
      <c r="AA250" s="6">
        <v>16.707039999999999</v>
      </c>
      <c r="AB250" s="6">
        <f>Anthropometry[[#This Row],[Upper arm girth - R]]-(PI()*(Anthropometry[[#This Row],[Triceps]]/10))</f>
        <v>23.830973958179392</v>
      </c>
      <c r="AC250" s="6">
        <f>Anthropometry[[#This Row],[Mid-thighs]]-PI()*(Anthropometry[[#This Row],[Thigh]]/10)</f>
        <v>48.825664309030657</v>
      </c>
      <c r="AD250" s="6">
        <f>Anthropometry[[#This Row],[Mid-calf]]-PI()*(Anthropometry[[#This Row],[Calf]]/10)</f>
        <v>30.667699533864027</v>
      </c>
      <c r="AE250" s="6"/>
      <c r="AF250" s="6"/>
    </row>
    <row r="251" spans="1:39" ht="14.45">
      <c r="A251" t="s">
        <v>47</v>
      </c>
      <c r="B251" s="12">
        <v>43480</v>
      </c>
      <c r="C251" s="14">
        <v>0.39583333333333331</v>
      </c>
      <c r="D251">
        <v>175.4</v>
      </c>
      <c r="E251">
        <v>72.599999999999994</v>
      </c>
      <c r="F251" s="6">
        <v>23.598122031544772</v>
      </c>
      <c r="G251" s="6">
        <v>61.920452879999999</v>
      </c>
      <c r="H251" s="6">
        <v>10.679547119999999</v>
      </c>
      <c r="J251">
        <v>88.3</v>
      </c>
      <c r="K251">
        <v>31.2</v>
      </c>
      <c r="M251">
        <v>101.2</v>
      </c>
      <c r="N251">
        <v>57.5</v>
      </c>
      <c r="O251" s="6">
        <v>147.35499999999996</v>
      </c>
      <c r="P251">
        <v>47.5</v>
      </c>
      <c r="Q251">
        <v>36.4</v>
      </c>
      <c r="R251">
        <v>17.399999999999999</v>
      </c>
      <c r="S251">
        <v>8.4</v>
      </c>
      <c r="T251">
        <v>6.9</v>
      </c>
      <c r="U251">
        <v>12.2</v>
      </c>
      <c r="V251">
        <v>5.8</v>
      </c>
      <c r="W251">
        <v>8.5</v>
      </c>
      <c r="X251">
        <v>19.5</v>
      </c>
      <c r="Y251">
        <v>12.3</v>
      </c>
      <c r="Z251">
        <v>90.999999999999986</v>
      </c>
      <c r="AA251" s="6">
        <v>14.710119999999998</v>
      </c>
      <c r="AB251" s="6">
        <f>Anthropometry[[#This Row],[Upper arm girth - R]]-(PI()*(Anthropometry[[#This Row],[Triceps]]/10))</f>
        <v>25.733628782753762</v>
      </c>
      <c r="AC251" s="6">
        <f>Anthropometry[[#This Row],[Mid-thighs]]-PI()*(Anthropometry[[#This Row],[Thigh]]/10)</f>
        <v>51.373894325499904</v>
      </c>
      <c r="AD251" s="6">
        <f>Anthropometry[[#This Row],[Mid-calf]]-PI()*(Anthropometry[[#This Row],[Calf]]/10)</f>
        <v>32.535841036084555</v>
      </c>
      <c r="AE251" s="6"/>
      <c r="AF251" s="6"/>
    </row>
    <row r="252" spans="1:39" ht="14.45">
      <c r="A252" t="s">
        <v>49</v>
      </c>
      <c r="B252" s="12">
        <v>43997</v>
      </c>
      <c r="C252" s="14">
        <v>0.375</v>
      </c>
      <c r="D252">
        <v>163.6</v>
      </c>
      <c r="E252">
        <v>67</v>
      </c>
      <c r="F252" s="6">
        <v>25.032729359580589</v>
      </c>
      <c r="G252" s="6">
        <v>55.827026400000001</v>
      </c>
      <c r="H252" s="6">
        <v>11.172973600000001</v>
      </c>
      <c r="K252">
        <v>28</v>
      </c>
      <c r="M252">
        <v>103</v>
      </c>
      <c r="N252">
        <v>55.5</v>
      </c>
      <c r="O252">
        <v>132.35200000000003</v>
      </c>
      <c r="P252">
        <v>45</v>
      </c>
      <c r="Q252">
        <v>38.200000000000003</v>
      </c>
      <c r="R252">
        <v>15.8</v>
      </c>
      <c r="S252">
        <v>12.6</v>
      </c>
      <c r="T252">
        <v>5.3</v>
      </c>
      <c r="U252">
        <v>10.8</v>
      </c>
      <c r="V252">
        <v>8.4</v>
      </c>
      <c r="W252">
        <v>13.2</v>
      </c>
      <c r="X252">
        <v>22.2</v>
      </c>
      <c r="Y252">
        <v>12.4</v>
      </c>
      <c r="Z252">
        <v>100.7</v>
      </c>
      <c r="AA252">
        <v>16.676079999999999</v>
      </c>
      <c r="AB252" s="6">
        <f>Anthropometry[[#This Row],[Upper arm girth - R]]-(PI()*(Anthropometry[[#This Row],[Triceps]]/10))</f>
        <v>23.036283607328127</v>
      </c>
      <c r="AC252" s="6">
        <f>Anthropometry[[#This Row],[Mid-thighs]]-PI()*(Anthropometry[[#This Row],[Thigh]]/10)</f>
        <v>48.52566430903066</v>
      </c>
      <c r="AD252" s="6">
        <f>Anthropometry[[#This Row],[Mid-calf]]-PI()*(Anthropometry[[#This Row],[Calf]]/10)</f>
        <v>34.30442510954866</v>
      </c>
      <c r="AE252" s="6"/>
      <c r="AF252" s="6"/>
    </row>
    <row r="253" spans="1:39" ht="14.45">
      <c r="A253" t="s">
        <v>48</v>
      </c>
      <c r="B253" s="12">
        <v>43998</v>
      </c>
      <c r="C253" s="14">
        <v>0.32291666666666669</v>
      </c>
      <c r="D253">
        <v>185.7</v>
      </c>
      <c r="E253">
        <v>92.8</v>
      </c>
      <c r="G253" s="6">
        <v>84.344333119999988</v>
      </c>
      <c r="H253" s="6">
        <v>8.455666879999999</v>
      </c>
      <c r="K253">
        <v>34.200000000000003</v>
      </c>
      <c r="M253">
        <v>107.2</v>
      </c>
      <c r="N253">
        <v>60</v>
      </c>
      <c r="O253" s="6">
        <v>180.37299999999993</v>
      </c>
      <c r="P253">
        <v>49</v>
      </c>
      <c r="Q253">
        <v>40.5</v>
      </c>
      <c r="R253">
        <v>12.3</v>
      </c>
      <c r="S253">
        <v>10</v>
      </c>
      <c r="T253">
        <v>3.3</v>
      </c>
      <c r="U253">
        <v>11.8</v>
      </c>
      <c r="V253">
        <v>7.9</v>
      </c>
      <c r="W253">
        <v>15</v>
      </c>
      <c r="X253">
        <v>9.3000000000000007</v>
      </c>
      <c r="Y253">
        <v>7.6</v>
      </c>
      <c r="Z253">
        <v>77.2</v>
      </c>
      <c r="AA253" s="6">
        <v>9.1117100000000004</v>
      </c>
      <c r="AB253" s="6">
        <f>Anthropometry[[#This Row],[Upper arm girth - R]]-(PI()*(Anthropometry[[#This Row],[Triceps]]/10))</f>
        <v>30.335841036084556</v>
      </c>
      <c r="AC253" s="6">
        <f>Anthropometry[[#This Row],[Mid-thighs]]-PI()*(Anthropometry[[#This Row],[Thigh]]/10)</f>
        <v>57.078318832161493</v>
      </c>
      <c r="AD253" s="6">
        <f>Anthropometry[[#This Row],[Mid-calf]]-PI()*(Anthropometry[[#This Row],[Calf]]/10)</f>
        <v>38.112389583271757</v>
      </c>
      <c r="AE253" s="6"/>
      <c r="AF253" s="6"/>
      <c r="AM253">
        <f>Anthropometry[[#This Row],[DEXA Pelvis (kg)]] + Anthropometry[[#This Row],[ DEXA LLM (kg)]]</f>
        <v>0</v>
      </c>
    </row>
    <row r="254" spans="1:39" ht="14.45">
      <c r="A254" t="s">
        <v>47</v>
      </c>
      <c r="B254" s="12">
        <v>43564</v>
      </c>
      <c r="C254" s="14">
        <v>0.35416666666666669</v>
      </c>
      <c r="D254">
        <v>174.8</v>
      </c>
      <c r="E254">
        <v>73</v>
      </c>
      <c r="F254" s="6">
        <v>23.891312202504064</v>
      </c>
      <c r="G254" s="6">
        <v>61.730493599999996</v>
      </c>
      <c r="H254" s="6">
        <v>11.269506399999999</v>
      </c>
      <c r="K254">
        <v>31.9</v>
      </c>
      <c r="M254">
        <v>102</v>
      </c>
      <c r="N254">
        <v>58</v>
      </c>
      <c r="O254" s="6">
        <v>151.15800000000002</v>
      </c>
      <c r="P254" s="6">
        <v>47</v>
      </c>
      <c r="Q254">
        <v>36.5</v>
      </c>
      <c r="R254">
        <v>18</v>
      </c>
      <c r="S254">
        <v>9.5</v>
      </c>
      <c r="T254">
        <v>7.1</v>
      </c>
      <c r="U254">
        <v>11.6</v>
      </c>
      <c r="V254">
        <v>6.5</v>
      </c>
      <c r="W254">
        <v>12.2</v>
      </c>
      <c r="X254">
        <v>18.8</v>
      </c>
      <c r="Y254">
        <v>11.6</v>
      </c>
      <c r="Z254">
        <v>95.3</v>
      </c>
      <c r="AA254" s="6">
        <v>15.437679999999999</v>
      </c>
      <c r="AB254" s="6">
        <f>Anthropometry[[#This Row],[Upper arm girth - R]]-(PI()*(Anthropometry[[#This Row],[Triceps]]/10))</f>
        <v>26.245133223538371</v>
      </c>
      <c r="AC254" s="6">
        <f>Anthropometry[[#This Row],[Mid-thighs]]-PI()*(Anthropometry[[#This Row],[Thigh]]/10)</f>
        <v>52.093805811251187</v>
      </c>
      <c r="AD254" s="6">
        <f>Anthropometry[[#This Row],[Mid-calf]]-PI()*(Anthropometry[[#This Row],[Calf]]/10)</f>
        <v>32.855752521835839</v>
      </c>
      <c r="AE254" s="6"/>
      <c r="AF254" s="6"/>
    </row>
    <row r="255" spans="1:39" ht="14.45">
      <c r="A255" t="s">
        <v>39</v>
      </c>
      <c r="B255" s="12">
        <v>43998</v>
      </c>
      <c r="C255" s="14">
        <v>0.34375</v>
      </c>
      <c r="D255">
        <v>180.7</v>
      </c>
      <c r="E255">
        <v>86.8</v>
      </c>
      <c r="G255" s="6">
        <v>80.277683080000003</v>
      </c>
      <c r="H255" s="6">
        <v>6.5223169199999997</v>
      </c>
      <c r="K255">
        <v>32</v>
      </c>
      <c r="M255">
        <v>101.8</v>
      </c>
      <c r="N255">
        <v>61</v>
      </c>
      <c r="O255" s="6">
        <v>189.85999999999996</v>
      </c>
      <c r="P255">
        <v>49.5</v>
      </c>
      <c r="Q255">
        <v>40.5</v>
      </c>
      <c r="R255">
        <v>6.3</v>
      </c>
      <c r="S255">
        <v>7.8</v>
      </c>
      <c r="T255">
        <v>2.8</v>
      </c>
      <c r="U255">
        <v>15.3</v>
      </c>
      <c r="V255">
        <v>6.8</v>
      </c>
      <c r="W255">
        <v>14.8</v>
      </c>
      <c r="X255">
        <v>7</v>
      </c>
      <c r="Y255">
        <v>4.2</v>
      </c>
      <c r="Z255" s="6">
        <v>65</v>
      </c>
      <c r="AA255" s="6">
        <v>7.5141900000000001</v>
      </c>
      <c r="AB255" s="6">
        <f>Anthropometry[[#This Row],[Upper arm girth - R]]-(PI()*(Anthropometry[[#This Row],[Triceps]]/10))</f>
        <v>30.020796628238429</v>
      </c>
      <c r="AC255" s="6">
        <f>Anthropometry[[#This Row],[Mid-thighs]]-PI()*(Anthropometry[[#This Row],[Thigh]]/10)</f>
        <v>58.800885142487147</v>
      </c>
      <c r="AD255" s="6">
        <f>Anthropometry[[#This Row],[Mid-calf]]-PI()*(Anthropometry[[#This Row],[Calf]]/10)</f>
        <v>39.180531085492284</v>
      </c>
      <c r="AE255" s="6"/>
      <c r="AF255" s="6"/>
    </row>
    <row r="256" spans="1:39" ht="14.45">
      <c r="A256" t="s">
        <v>41</v>
      </c>
      <c r="B256" s="12">
        <v>43998</v>
      </c>
      <c r="C256" s="14">
        <v>0.3125</v>
      </c>
      <c r="D256">
        <v>176.9</v>
      </c>
      <c r="E256">
        <v>86.6</v>
      </c>
      <c r="G256" s="6">
        <v>81.093894059999997</v>
      </c>
      <c r="H256" s="6">
        <v>5.5061059400000003</v>
      </c>
      <c r="K256">
        <v>32.5</v>
      </c>
      <c r="M256">
        <v>99.5</v>
      </c>
      <c r="N256">
        <v>59.5</v>
      </c>
      <c r="O256" s="6">
        <v>187.85599999999999</v>
      </c>
      <c r="P256">
        <v>47.8</v>
      </c>
      <c r="Q256">
        <v>38</v>
      </c>
      <c r="R256">
        <v>6.8</v>
      </c>
      <c r="S256">
        <v>7.3</v>
      </c>
      <c r="T256">
        <v>2.7</v>
      </c>
      <c r="U256">
        <v>8.6</v>
      </c>
      <c r="V256">
        <v>5</v>
      </c>
      <c r="W256">
        <v>8.6</v>
      </c>
      <c r="X256">
        <v>4.5999999999999996</v>
      </c>
      <c r="Y256">
        <v>3.6</v>
      </c>
      <c r="Z256">
        <v>47.2</v>
      </c>
      <c r="AA256" s="6">
        <v>6.3580900000000007</v>
      </c>
      <c r="AB256" s="6">
        <f>Anthropometry[[#This Row],[Upper arm girth - R]]-(PI()*(Anthropometry[[#This Row],[Triceps]]/10))</f>
        <v>30.363716995558942</v>
      </c>
      <c r="AC256" s="6">
        <f>Anthropometry[[#This Row],[Mid-thighs]]-PI()*(Anthropometry[[#This Row],[Thigh]]/10)</f>
        <v>58.054867379348693</v>
      </c>
      <c r="AD256" s="6">
        <f>Anthropometry[[#This Row],[Mid-calf]]-PI()*(Anthropometry[[#This Row],[Calf]]/10)</f>
        <v>36.869026644707674</v>
      </c>
      <c r="AE256" s="6"/>
      <c r="AF256" s="6"/>
    </row>
    <row r="257" spans="1:39" ht="14.45">
      <c r="A257" t="s">
        <v>47</v>
      </c>
      <c r="B257" s="12">
        <v>43605</v>
      </c>
      <c r="C257" s="14">
        <v>0.40625</v>
      </c>
      <c r="D257">
        <v>174.8</v>
      </c>
      <c r="E257">
        <v>74</v>
      </c>
      <c r="F257" s="6">
        <v>24.218590451853434</v>
      </c>
      <c r="G257" s="6">
        <v>63.125966399999996</v>
      </c>
      <c r="H257" s="6">
        <v>10.874033600000001</v>
      </c>
      <c r="K257">
        <v>31.5</v>
      </c>
      <c r="M257">
        <v>102.4</v>
      </c>
      <c r="N257">
        <v>58.8</v>
      </c>
      <c r="O257" s="6">
        <v>154.90199999999999</v>
      </c>
      <c r="P257">
        <v>47</v>
      </c>
      <c r="Q257">
        <v>36.1</v>
      </c>
      <c r="R257">
        <v>13.8</v>
      </c>
      <c r="S257">
        <v>9.1999999999999993</v>
      </c>
      <c r="T257">
        <v>7.2</v>
      </c>
      <c r="U257">
        <v>11.4</v>
      </c>
      <c r="V257">
        <v>6</v>
      </c>
      <c r="W257">
        <v>12.1</v>
      </c>
      <c r="X257">
        <v>18.8</v>
      </c>
      <c r="Y257">
        <v>11.9</v>
      </c>
      <c r="Z257">
        <v>90.4</v>
      </c>
      <c r="AA257" s="6">
        <v>14.694640000000001</v>
      </c>
      <c r="AB257" s="6">
        <f>Anthropometry[[#This Row],[Upper arm girth - R]]-(PI()*(Anthropometry[[#This Row],[Triceps]]/10))</f>
        <v>27.164602138046085</v>
      </c>
      <c r="AC257" s="6">
        <f>Anthropometry[[#This Row],[Mid-thighs]]-PI()*(Anthropometry[[#This Row],[Thigh]]/10)</f>
        <v>52.893805811251184</v>
      </c>
      <c r="AD257" s="6">
        <f>Anthropometry[[#This Row],[Mid-calf]]-PI()*(Anthropometry[[#This Row],[Calf]]/10)</f>
        <v>32.361504742228149</v>
      </c>
      <c r="AE257" s="6"/>
      <c r="AF257" s="6"/>
    </row>
    <row r="258" spans="1:39" ht="14.45">
      <c r="A258" t="s">
        <v>42</v>
      </c>
      <c r="B258" s="12">
        <v>44048</v>
      </c>
      <c r="C258" s="14">
        <v>0.33333333333333331</v>
      </c>
      <c r="D258">
        <v>167.5</v>
      </c>
      <c r="E258">
        <v>64</v>
      </c>
      <c r="F258" s="6">
        <f>(E258/((D258/100)*2))</f>
        <v>19.104477611940297</v>
      </c>
      <c r="G258" s="6">
        <f>E258/100*(100-AA258)</f>
        <v>57.3595392</v>
      </c>
      <c r="H258" s="6">
        <f>E258/100*AA258</f>
        <v>6.6404607999999996</v>
      </c>
      <c r="K258">
        <v>27.2</v>
      </c>
      <c r="M258">
        <v>97</v>
      </c>
      <c r="N258">
        <v>55.6</v>
      </c>
      <c r="O258" s="6">
        <f>(((4.68*N258)-(2.09*X258))-80.99)</f>
        <v>160.61699999999996</v>
      </c>
      <c r="P258">
        <v>47.5</v>
      </c>
      <c r="Q258">
        <v>36.5</v>
      </c>
      <c r="R258">
        <v>8.1999999999999993</v>
      </c>
      <c r="S258">
        <v>6.2</v>
      </c>
      <c r="T258">
        <v>2.6</v>
      </c>
      <c r="U258">
        <v>8.1</v>
      </c>
      <c r="V258">
        <v>5</v>
      </c>
      <c r="W258">
        <v>8.1999999999999993</v>
      </c>
      <c r="X258">
        <v>8.9</v>
      </c>
      <c r="Y258">
        <v>7.4</v>
      </c>
      <c r="Z258">
        <f>SUM(R258:Y258)</f>
        <v>54.599999999999994</v>
      </c>
      <c r="AA258" s="6">
        <f>((0.1548*SUM(R258:S258,V258:Y258))+3.58)</f>
        <v>10.375719999999999</v>
      </c>
      <c r="AB258" s="6">
        <f>Anthropometry[[#This Row],[Upper arm girth - R]]-(PI()*(Anthropometry[[#This Row],[Triceps]]/10))</f>
        <v>24.623894024056369</v>
      </c>
      <c r="AC258" s="6">
        <f>Anthropometry[[#This Row],[Mid-thighs]]-PI()*(Anthropometry[[#This Row],[Thigh]]/10)</f>
        <v>52.803982538305085</v>
      </c>
      <c r="AD258" s="6">
        <f>Anthropometry[[#This Row],[Mid-calf]]-PI()*(Anthropometry[[#This Row],[Calf]]/10)</f>
        <v>34.175221436343556</v>
      </c>
      <c r="AE258" s="6"/>
      <c r="AF258" s="6"/>
    </row>
    <row r="259" spans="1:39" ht="14.45">
      <c r="A259" t="s">
        <v>47</v>
      </c>
      <c r="B259" s="12">
        <v>43742</v>
      </c>
      <c r="C259" s="14">
        <v>0.34375</v>
      </c>
      <c r="D259">
        <v>174.8</v>
      </c>
      <c r="E259">
        <v>72.8</v>
      </c>
      <c r="F259" s="6">
        <v>23.825856552634189</v>
      </c>
      <c r="G259" s="6">
        <v>62.29388256</v>
      </c>
      <c r="H259" s="6">
        <v>10.506117439999999</v>
      </c>
      <c r="K259">
        <v>31.8</v>
      </c>
      <c r="M259">
        <v>102.5</v>
      </c>
      <c r="N259">
        <v>59</v>
      </c>
      <c r="O259" s="6">
        <v>158.97300000000001</v>
      </c>
      <c r="P259">
        <v>48</v>
      </c>
      <c r="Q259">
        <v>36</v>
      </c>
      <c r="R259">
        <v>16.399999999999999</v>
      </c>
      <c r="S259">
        <v>8.4</v>
      </c>
      <c r="T259">
        <v>6.5</v>
      </c>
      <c r="U259">
        <v>11.5</v>
      </c>
      <c r="V259">
        <v>5.9</v>
      </c>
      <c r="W259">
        <v>9.9</v>
      </c>
      <c r="X259">
        <v>17.3</v>
      </c>
      <c r="Y259">
        <v>12.2</v>
      </c>
      <c r="Z259">
        <v>88.1</v>
      </c>
      <c r="AA259" s="6">
        <v>14.431479999999999</v>
      </c>
      <c r="AB259" s="6">
        <f>Anthropometry[[#This Row],[Upper arm girth - R]]-(PI()*(Anthropometry[[#This Row],[Triceps]]/10))</f>
        <v>26.647788048112741</v>
      </c>
      <c r="AC259" s="6">
        <f>Anthropometry[[#This Row],[Mid-thighs]]-PI()*(Anthropometry[[#This Row],[Thigh]]/10)</f>
        <v>53.565044709289658</v>
      </c>
      <c r="AD259" s="6">
        <f>Anthropometry[[#This Row],[Mid-calf]]-PI()*(Anthropometry[[#This Row],[Calf]]/10)</f>
        <v>32.167256962620449</v>
      </c>
      <c r="AE259" s="6"/>
      <c r="AF259" s="6"/>
    </row>
    <row r="260" spans="1:39" ht="14.45">
      <c r="A260" t="s">
        <v>44</v>
      </c>
      <c r="B260" s="12">
        <v>44082</v>
      </c>
      <c r="C260" s="14">
        <v>0.41666666666666669</v>
      </c>
      <c r="D260" s="6">
        <v>171.3</v>
      </c>
      <c r="E260">
        <v>68.8</v>
      </c>
      <c r="F260" s="6">
        <f>(E260/((D260/100)*(D260/100)))</f>
        <v>23.446267323571096</v>
      </c>
      <c r="G260" s="6">
        <f>E260/100*(100-AA260)</f>
        <v>57.262955519999998</v>
      </c>
      <c r="H260" s="6">
        <f>E260/100*AA260</f>
        <v>11.537044479999999</v>
      </c>
      <c r="K260">
        <v>29.5</v>
      </c>
      <c r="M260">
        <v>99.5</v>
      </c>
      <c r="N260">
        <v>56</v>
      </c>
      <c r="O260" s="6">
        <f>(((4.68*N260)-(2.09*X260))-80.99)</f>
        <v>135.52799999999996</v>
      </c>
      <c r="P260">
        <v>46.3</v>
      </c>
      <c r="Q260">
        <v>36</v>
      </c>
      <c r="R260">
        <v>17.399999999999999</v>
      </c>
      <c r="S260">
        <v>9.1999999999999993</v>
      </c>
      <c r="T260">
        <v>6.2</v>
      </c>
      <c r="U260">
        <v>12</v>
      </c>
      <c r="V260">
        <v>6</v>
      </c>
      <c r="W260">
        <v>12.3</v>
      </c>
      <c r="X260">
        <v>21.8</v>
      </c>
      <c r="Y260">
        <v>18.5</v>
      </c>
      <c r="Z260">
        <f>SUM(R260:Y260)</f>
        <v>103.39999999999999</v>
      </c>
      <c r="AA260" s="6">
        <f>((0.1548*SUM(R260:S260,V260:Y260))+3.58)</f>
        <v>16.76896</v>
      </c>
      <c r="AB260" s="6">
        <f>Anthropometry[[#This Row],[Upper arm girth - R]]-(PI()*(Anthropometry[[#This Row],[Triceps]]/10))</f>
        <v>24.033628782753759</v>
      </c>
      <c r="AC260" s="6">
        <f>Anthropometry[[#This Row],[Mid-thighs]]-PI()*(Anthropometry[[#This Row],[Thigh]]/10)</f>
        <v>49.151328015174251</v>
      </c>
      <c r="AD260" s="6">
        <f>Anthropometry[[#This Row],[Mid-calf]]-PI()*(Anthropometry[[#This Row],[Calf]]/10)</f>
        <v>30.188053590858882</v>
      </c>
      <c r="AE260" s="6"/>
      <c r="AF260" s="6"/>
    </row>
    <row r="261" spans="1:39" ht="14.45">
      <c r="A261" t="s">
        <v>41</v>
      </c>
      <c r="B261" s="12">
        <v>44082</v>
      </c>
      <c r="C261" s="14">
        <v>0.39583333333333331</v>
      </c>
      <c r="D261" s="6">
        <v>176.7</v>
      </c>
      <c r="E261">
        <v>86</v>
      </c>
      <c r="G261" s="6">
        <f>E261/100*(100-AA261)</f>
        <v>79.908379199999999</v>
      </c>
      <c r="H261" s="6">
        <f>E261/100*AA261</f>
        <v>6.0916207999999994</v>
      </c>
      <c r="K261">
        <v>33.5</v>
      </c>
      <c r="M261">
        <v>101.2</v>
      </c>
      <c r="N261">
        <v>58.8</v>
      </c>
      <c r="O261" s="6">
        <f>(((4.68*N261)-(2.09*X261))-80.99)</f>
        <v>183.53499999999997</v>
      </c>
      <c r="P261">
        <v>46.4</v>
      </c>
      <c r="Q261">
        <v>35.1</v>
      </c>
      <c r="R261">
        <v>7.2</v>
      </c>
      <c r="S261">
        <v>7.5</v>
      </c>
      <c r="T261">
        <v>2.4</v>
      </c>
      <c r="U261">
        <v>10.6</v>
      </c>
      <c r="V261">
        <v>5.6</v>
      </c>
      <c r="W261">
        <v>12.8</v>
      </c>
      <c r="X261">
        <v>5.0999999999999996</v>
      </c>
      <c r="Y261">
        <v>4.5999999999999996</v>
      </c>
      <c r="Z261">
        <f>SUM(R261:Y261)</f>
        <v>55.8</v>
      </c>
      <c r="AA261" s="6">
        <f>((0.1051*SUM(R261:S261,V261:Y261))+2.585)</f>
        <v>7.0832799999999994</v>
      </c>
      <c r="AB261" s="6">
        <f>Anthropometry[[#This Row],[Upper arm girth - R]]-(PI()*(Anthropometry[[#This Row],[Triceps]]/10))</f>
        <v>31.238053289415348</v>
      </c>
      <c r="AC261" s="6">
        <f>Anthropometry[[#This Row],[Mid-thighs]]-PI()*(Anthropometry[[#This Row],[Thigh]]/10)</f>
        <v>57.197787746669199</v>
      </c>
      <c r="AD261" s="6">
        <f>Anthropometry[[#This Row],[Mid-calf]]-PI()*(Anthropometry[[#This Row],[Calf]]/10)</f>
        <v>33.654867379348694</v>
      </c>
      <c r="AE261" s="6"/>
      <c r="AF261" s="6"/>
    </row>
    <row r="262" spans="1:39" ht="14.45">
      <c r="A262" t="s">
        <v>47</v>
      </c>
      <c r="B262" s="12">
        <v>43861</v>
      </c>
      <c r="C262" s="14">
        <v>0.35416666666666669</v>
      </c>
      <c r="D262">
        <v>174.8</v>
      </c>
      <c r="E262">
        <v>72.3</v>
      </c>
      <c r="F262" s="6">
        <v>23.662217427959504</v>
      </c>
      <c r="G262" s="6">
        <v>62.526370320000005</v>
      </c>
      <c r="H262" s="6">
        <v>9.7736296799999991</v>
      </c>
      <c r="K262">
        <v>31.4</v>
      </c>
      <c r="M262">
        <v>101.9</v>
      </c>
      <c r="N262">
        <v>59.2</v>
      </c>
      <c r="O262" s="6">
        <v>159.69999999999999</v>
      </c>
      <c r="P262">
        <v>46.9</v>
      </c>
      <c r="Q262">
        <v>36.799999999999997</v>
      </c>
      <c r="R262">
        <v>14</v>
      </c>
      <c r="S262">
        <v>7.8</v>
      </c>
      <c r="T262">
        <v>5.8</v>
      </c>
      <c r="U262">
        <v>9.4</v>
      </c>
      <c r="V262">
        <v>5.4</v>
      </c>
      <c r="W262">
        <v>8.1999999999999993</v>
      </c>
      <c r="X262">
        <v>17.399999999999999</v>
      </c>
      <c r="Y262">
        <v>11.4</v>
      </c>
      <c r="Z262">
        <v>79.400000000000006</v>
      </c>
      <c r="AA262" s="6">
        <v>13.51816</v>
      </c>
      <c r="AB262" s="6">
        <f>Anthropometry[[#This Row],[Upper arm girth - R]]-(PI()*(Anthropometry[[#This Row],[Triceps]]/10))</f>
        <v>27.001770284974288</v>
      </c>
      <c r="AC262" s="6">
        <f>Anthropometry[[#This Row],[Mid-thighs]]-PI()*(Anthropometry[[#This Row],[Thigh]]/10)</f>
        <v>53.733628782753762</v>
      </c>
      <c r="AD262" s="6">
        <f>Anthropometry[[#This Row],[Mid-calf]]-PI()*(Anthropometry[[#This Row],[Calf]]/10)</f>
        <v>33.218584374907635</v>
      </c>
      <c r="AE262" s="6"/>
      <c r="AF262" s="6"/>
    </row>
    <row r="263" spans="1:39" ht="14.45">
      <c r="A263" t="s">
        <v>47</v>
      </c>
      <c r="B263" s="12">
        <v>43997</v>
      </c>
      <c r="C263" s="14">
        <v>0.3125</v>
      </c>
      <c r="D263">
        <v>175.5</v>
      </c>
      <c r="E263">
        <v>75.099999999999994</v>
      </c>
      <c r="F263" s="6">
        <v>24.382918969813559</v>
      </c>
      <c r="G263" s="6">
        <v>64.761854159999999</v>
      </c>
      <c r="H263" s="6">
        <v>10.338145839999997</v>
      </c>
      <c r="K263">
        <v>32</v>
      </c>
      <c r="M263">
        <v>103</v>
      </c>
      <c r="N263">
        <v>60.1</v>
      </c>
      <c r="O263" s="6">
        <v>163.70299999999997</v>
      </c>
      <c r="P263">
        <v>48.1</v>
      </c>
      <c r="Q263">
        <v>37.200000000000003</v>
      </c>
      <c r="R263">
        <v>13.6</v>
      </c>
      <c r="S263">
        <v>8.1</v>
      </c>
      <c r="T263">
        <v>6.5</v>
      </c>
      <c r="U263">
        <v>10.8</v>
      </c>
      <c r="V263">
        <v>5.8</v>
      </c>
      <c r="W263">
        <v>8.5</v>
      </c>
      <c r="X263">
        <v>17.5</v>
      </c>
      <c r="Y263">
        <v>12.3</v>
      </c>
      <c r="Z263">
        <v>83.1</v>
      </c>
      <c r="AA263" s="6">
        <v>13.765839999999999</v>
      </c>
      <c r="AB263" s="6">
        <f>Anthropometry[[#This Row],[Upper arm girth - R]]-(PI()*(Anthropometry[[#This Row],[Triceps]]/10))</f>
        <v>27.727433991117881</v>
      </c>
      <c r="AC263" s="6">
        <f>Anthropometry[[#This Row],[Mid-thighs]]-PI()*(Anthropometry[[#This Row],[Thigh]]/10)</f>
        <v>54.602212856217861</v>
      </c>
      <c r="AD263" s="6">
        <f>Anthropometry[[#This Row],[Mid-calf]]-PI()*(Anthropometry[[#This Row],[Calf]]/10)</f>
        <v>33.33584103608456</v>
      </c>
      <c r="AE263" s="6"/>
      <c r="AF263" s="6"/>
    </row>
    <row r="264" spans="1:39" ht="14.45">
      <c r="A264" t="s">
        <v>47</v>
      </c>
      <c r="B264" s="12">
        <v>44082</v>
      </c>
      <c r="C264" s="14">
        <v>0.4375</v>
      </c>
      <c r="D264" s="6">
        <v>175.5</v>
      </c>
      <c r="E264">
        <v>76.400000000000006</v>
      </c>
      <c r="F264" s="6">
        <f>(E264/((D264/100)*(D264/100)))</f>
        <v>24.804993465962131</v>
      </c>
      <c r="G264" s="6">
        <f t="shared" ref="G264:G295" si="0">E264/100*(100-AA264)</f>
        <v>64.995894239999998</v>
      </c>
      <c r="H264" s="6">
        <f t="shared" ref="H264:H295" si="1">E264/100*AA264</f>
        <v>11.404105759999998</v>
      </c>
      <c r="K264">
        <v>32</v>
      </c>
      <c r="M264">
        <v>103</v>
      </c>
      <c r="N264">
        <v>61</v>
      </c>
      <c r="O264" s="6">
        <f t="shared" ref="O264:O274" si="2">(((4.68*N264)-(2.09*X264))-80.99)</f>
        <v>161.01799999999997</v>
      </c>
      <c r="P264">
        <v>50.5</v>
      </c>
      <c r="Q264">
        <v>37.6</v>
      </c>
      <c r="R264">
        <v>16.8</v>
      </c>
      <c r="S264">
        <v>8.1999999999999993</v>
      </c>
      <c r="T264">
        <v>5.8</v>
      </c>
      <c r="U264">
        <v>10.6</v>
      </c>
      <c r="V264">
        <v>6.2</v>
      </c>
      <c r="W264">
        <v>9.5</v>
      </c>
      <c r="X264">
        <v>20.8</v>
      </c>
      <c r="Y264">
        <v>11.8</v>
      </c>
      <c r="Z264">
        <f t="shared" ref="Z264:Z295" si="3">SUM(R264:Y264)</f>
        <v>89.7</v>
      </c>
      <c r="AA264" s="6">
        <f>((0.1548*SUM(R264:S264,V264:Y264))+3.58)</f>
        <v>14.926839999999999</v>
      </c>
      <c r="AB264" s="6">
        <f>Anthropometry[[#This Row],[Upper arm girth - R]]-(PI()*(Anthropometry[[#This Row],[Triceps]]/10))</f>
        <v>26.722124341969149</v>
      </c>
      <c r="AC264" s="6">
        <f>Anthropometry[[#This Row],[Mid-thighs]]-PI()*(Anthropometry[[#This Row],[Thigh]]/10)</f>
        <v>54.465487280533232</v>
      </c>
      <c r="AD264" s="6">
        <f>Anthropometry[[#This Row],[Mid-calf]]-PI()*(Anthropometry[[#This Row],[Calf]]/10)</f>
        <v>33.892920668764049</v>
      </c>
      <c r="AE264" s="6"/>
      <c r="AF264" s="6"/>
    </row>
    <row r="265" spans="1:39" ht="14.45">
      <c r="A265" t="s">
        <v>48</v>
      </c>
      <c r="B265" s="12">
        <v>44083</v>
      </c>
      <c r="C265" s="14">
        <v>0.35416666666666669</v>
      </c>
      <c r="D265" s="6">
        <v>185.7</v>
      </c>
      <c r="E265">
        <v>92.9</v>
      </c>
      <c r="G265" s="6">
        <f t="shared" si="0"/>
        <v>84.386402459999999</v>
      </c>
      <c r="H265" s="6">
        <f t="shared" si="1"/>
        <v>8.513597540000001</v>
      </c>
      <c r="K265">
        <v>34.299999999999997</v>
      </c>
      <c r="M265">
        <v>107.4</v>
      </c>
      <c r="N265">
        <v>60.3</v>
      </c>
      <c r="O265" s="6">
        <f t="shared" si="2"/>
        <v>181.14999999999992</v>
      </c>
      <c r="P265">
        <v>49.1</v>
      </c>
      <c r="Q265">
        <v>40.5</v>
      </c>
      <c r="R265">
        <v>13</v>
      </c>
      <c r="S265">
        <v>9.8000000000000007</v>
      </c>
      <c r="T265">
        <v>3.9</v>
      </c>
      <c r="U265">
        <v>14</v>
      </c>
      <c r="V265">
        <v>7.4</v>
      </c>
      <c r="W265">
        <v>15.6</v>
      </c>
      <c r="X265">
        <v>9.6</v>
      </c>
      <c r="Y265">
        <v>7.2</v>
      </c>
      <c r="Z265">
        <f t="shared" si="3"/>
        <v>80.5</v>
      </c>
      <c r="AA265" s="6">
        <f>((0.1051*SUM(R265:S265,V265:Y265))+2.585)</f>
        <v>9.1642600000000005</v>
      </c>
      <c r="AB265" s="6">
        <f>Anthropometry[[#This Row],[Upper arm girth - R]]-(PI()*(Anthropometry[[#This Row],[Triceps]]/10))</f>
        <v>30.215929550333264</v>
      </c>
      <c r="AC265" s="6">
        <f>Anthropometry[[#This Row],[Mid-thighs]]-PI()*(Anthropometry[[#This Row],[Thigh]]/10)</f>
        <v>57.284071052553799</v>
      </c>
      <c r="AD265" s="6">
        <f>Anthropometry[[#This Row],[Mid-calf]]-PI()*(Anthropometry[[#This Row],[Calf]]/10)</f>
        <v>38.238053289415348</v>
      </c>
      <c r="AE265" s="6"/>
      <c r="AF265" s="6"/>
      <c r="AM265">
        <f>Anthropometry[[#This Row],[DEXA Pelvis (kg)]] + Anthropometry[[#This Row],[ DEXA LLM (kg)]]</f>
        <v>0</v>
      </c>
    </row>
    <row r="266" spans="1:39" ht="14.45">
      <c r="A266" t="s">
        <v>39</v>
      </c>
      <c r="B266" s="12">
        <v>44083</v>
      </c>
      <c r="C266" s="14">
        <v>0.34375</v>
      </c>
      <c r="D266" s="6">
        <v>180.7</v>
      </c>
      <c r="E266">
        <v>88.3</v>
      </c>
      <c r="G266" s="6">
        <f t="shared" si="0"/>
        <v>81.367999670000003</v>
      </c>
      <c r="H266" s="6">
        <f t="shared" si="1"/>
        <v>6.9320003300000002</v>
      </c>
      <c r="K266">
        <v>32.700000000000003</v>
      </c>
      <c r="M266">
        <v>103.5</v>
      </c>
      <c r="N266">
        <v>62</v>
      </c>
      <c r="O266" s="6">
        <f t="shared" si="2"/>
        <v>194.12199999999996</v>
      </c>
      <c r="P266">
        <v>51</v>
      </c>
      <c r="Q266">
        <v>41</v>
      </c>
      <c r="R266">
        <v>6.6</v>
      </c>
      <c r="S266">
        <v>7.8</v>
      </c>
      <c r="T266">
        <v>3.4</v>
      </c>
      <c r="U266">
        <v>14.6</v>
      </c>
      <c r="V266">
        <v>7.5</v>
      </c>
      <c r="W266">
        <v>16</v>
      </c>
      <c r="X266">
        <v>7.2</v>
      </c>
      <c r="Y266">
        <v>5</v>
      </c>
      <c r="Z266" s="6">
        <f t="shared" si="3"/>
        <v>68.099999999999994</v>
      </c>
      <c r="AA266" s="6">
        <f>((0.1051*SUM(R266:S266,V266:Y266))+2.585)</f>
        <v>7.8505099999999999</v>
      </c>
      <c r="AB266" s="6">
        <f>Anthropometry[[#This Row],[Upper arm girth - R]]-(PI()*(Anthropometry[[#This Row],[Triceps]]/10))</f>
        <v>30.62654884863074</v>
      </c>
      <c r="AC266" s="6">
        <f>Anthropometry[[#This Row],[Mid-thighs]]-PI()*(Anthropometry[[#This Row],[Thigh]]/10)</f>
        <v>59.738053289415348</v>
      </c>
      <c r="AD266" s="6">
        <f>Anthropometry[[#This Row],[Mid-calf]]-PI()*(Anthropometry[[#This Row],[Calf]]/10)</f>
        <v>39.429203673205102</v>
      </c>
      <c r="AE266" s="6"/>
      <c r="AF266" s="6"/>
    </row>
    <row r="267" spans="1:39" ht="14.45">
      <c r="A267" t="s">
        <v>47</v>
      </c>
      <c r="B267" s="12">
        <v>44152</v>
      </c>
      <c r="C267" s="14">
        <v>0.32291666666666669</v>
      </c>
      <c r="D267">
        <v>175.5</v>
      </c>
      <c r="E267">
        <v>75.099999999999994</v>
      </c>
      <c r="F267" s="6">
        <f>(E267/((D267/100)*(D267/100)))</f>
        <v>24.382918969813559</v>
      </c>
      <c r="G267" s="6">
        <f t="shared" si="0"/>
        <v>63.84344123999999</v>
      </c>
      <c r="H267" s="6">
        <f t="shared" si="1"/>
        <v>11.256558759999997</v>
      </c>
      <c r="K267">
        <v>32.5</v>
      </c>
      <c r="M267">
        <v>102</v>
      </c>
      <c r="N267">
        <v>58.5</v>
      </c>
      <c r="O267" s="6">
        <f t="shared" si="2"/>
        <v>153.07999999999998</v>
      </c>
      <c r="P267">
        <v>47</v>
      </c>
      <c r="Q267">
        <v>37</v>
      </c>
      <c r="R267">
        <v>18.8</v>
      </c>
      <c r="S267">
        <v>6.5</v>
      </c>
      <c r="T267">
        <v>6.2</v>
      </c>
      <c r="U267">
        <v>12.2</v>
      </c>
      <c r="V267">
        <v>7</v>
      </c>
      <c r="W267">
        <v>11.8</v>
      </c>
      <c r="X267">
        <v>19</v>
      </c>
      <c r="Y267">
        <v>10.6</v>
      </c>
      <c r="Z267">
        <f t="shared" si="3"/>
        <v>92.1</v>
      </c>
      <c r="AA267" s="6">
        <f>((0.1548*SUM(R267:S267,V267:Y267))+3.58)</f>
        <v>14.988759999999997</v>
      </c>
      <c r="AB267" s="6">
        <f>Anthropometry[[#This Row],[Upper arm girth - R]]-(PI()*(Anthropometry[[#This Row],[Triceps]]/10))</f>
        <v>26.593805811251187</v>
      </c>
      <c r="AC267" s="6">
        <f>Anthropometry[[#This Row],[Mid-thighs]]-PI()*(Anthropometry[[#This Row],[Thigh]]/10)</f>
        <v>52.530973958179395</v>
      </c>
      <c r="AD267" s="6">
        <f>Anthropometry[[#This Row],[Mid-calf]]-PI()*(Anthropometry[[#This Row],[Calf]]/10)</f>
        <v>33.66991178719482</v>
      </c>
      <c r="AE267" s="6"/>
      <c r="AF267" s="6"/>
    </row>
    <row r="268" spans="1:39" ht="14.45">
      <c r="A268" t="s">
        <v>40</v>
      </c>
      <c r="B268" s="12">
        <v>44083</v>
      </c>
      <c r="C268" s="14">
        <v>0.36458333333333331</v>
      </c>
      <c r="D268" s="6">
        <v>183.4</v>
      </c>
      <c r="E268">
        <v>83.3</v>
      </c>
      <c r="G268" s="6">
        <f t="shared" si="0"/>
        <v>77.942427219999999</v>
      </c>
      <c r="H268" s="6">
        <f t="shared" si="1"/>
        <v>5.3575727799999999</v>
      </c>
      <c r="K268">
        <v>31</v>
      </c>
      <c r="M268">
        <v>101.8</v>
      </c>
      <c r="N268">
        <v>58.5</v>
      </c>
      <c r="O268" s="6">
        <f t="shared" si="2"/>
        <v>183.80299999999994</v>
      </c>
      <c r="P268">
        <v>47</v>
      </c>
      <c r="Q268">
        <v>35.200000000000003</v>
      </c>
      <c r="R268">
        <v>5.3</v>
      </c>
      <c r="S268">
        <v>8.9</v>
      </c>
      <c r="T268">
        <v>2.6</v>
      </c>
      <c r="U268">
        <v>6.5</v>
      </c>
      <c r="V268">
        <v>4.3</v>
      </c>
      <c r="W268">
        <v>10.199999999999999</v>
      </c>
      <c r="X268">
        <v>4.3</v>
      </c>
      <c r="Y268">
        <v>3.6</v>
      </c>
      <c r="Z268">
        <f t="shared" si="3"/>
        <v>45.699999999999996</v>
      </c>
      <c r="AA268" s="6">
        <f>((0.1051*SUM(R268:S268,V268:Y268))+2.585)</f>
        <v>6.4316599999999999</v>
      </c>
      <c r="AB268" s="6">
        <f>Anthropometry[[#This Row],[Upper arm girth - R]]-(PI()*(Anthropometry[[#This Row],[Triceps]]/10))</f>
        <v>29.33495589359741</v>
      </c>
      <c r="AC268" s="6">
        <f>Anthropometry[[#This Row],[Mid-thighs]]-PI()*(Anthropometry[[#This Row],[Thigh]]/10)</f>
        <v>57.149115158956391</v>
      </c>
      <c r="AD268" s="6">
        <f>Anthropometry[[#This Row],[Mid-calf]]-PI()*(Anthropometry[[#This Row],[Calf]]/10)</f>
        <v>34.069026644707677</v>
      </c>
      <c r="AE268" s="6"/>
      <c r="AF268" s="6"/>
    </row>
    <row r="269" spans="1:39" ht="14.45">
      <c r="A269" t="s">
        <v>49</v>
      </c>
      <c r="B269" s="12">
        <v>44084</v>
      </c>
      <c r="C269" s="14">
        <v>0.35416666666666669</v>
      </c>
      <c r="D269" s="6">
        <v>163.6</v>
      </c>
      <c r="E269">
        <v>65.099999999999994</v>
      </c>
      <c r="F269" s="6">
        <f>(E269/((D269/100)*(D269/100)))</f>
        <v>24.322845989682033</v>
      </c>
      <c r="G269" s="6">
        <f t="shared" si="0"/>
        <v>54.646971119999989</v>
      </c>
      <c r="H269" s="6">
        <f t="shared" si="1"/>
        <v>10.453028879999998</v>
      </c>
      <c r="K269">
        <v>28.7</v>
      </c>
      <c r="M269">
        <v>101.5</v>
      </c>
      <c r="N269">
        <v>55</v>
      </c>
      <c r="O269" s="6">
        <f t="shared" si="2"/>
        <v>129.17599999999999</v>
      </c>
      <c r="P269">
        <v>45</v>
      </c>
      <c r="Q269">
        <v>38.5</v>
      </c>
      <c r="R269">
        <v>14.1</v>
      </c>
      <c r="S269">
        <v>11.4</v>
      </c>
      <c r="T269">
        <v>4.8</v>
      </c>
      <c r="U269">
        <v>10.199999999999999</v>
      </c>
      <c r="V269">
        <v>8.1999999999999993</v>
      </c>
      <c r="W269">
        <v>12.7</v>
      </c>
      <c r="X269">
        <v>22.6</v>
      </c>
      <c r="Y269">
        <v>11.6</v>
      </c>
      <c r="Z269">
        <f t="shared" si="3"/>
        <v>95.6</v>
      </c>
      <c r="AA269" s="6">
        <f>((0.1548*SUM(R269:S269,V269:Y269))+3.58)</f>
        <v>16.05688</v>
      </c>
      <c r="AB269" s="6">
        <f>Anthropometry[[#This Row],[Upper arm girth - R]]-(PI()*(Anthropometry[[#This Row],[Triceps]]/10))</f>
        <v>24.270354358438389</v>
      </c>
      <c r="AC269" s="6">
        <f>Anthropometry[[#This Row],[Mid-thighs]]-PI()*(Anthropometry[[#This Row],[Thigh]]/10)</f>
        <v>47.900000602887069</v>
      </c>
      <c r="AD269" s="6">
        <f>Anthropometry[[#This Row],[Mid-calf]]-PI()*(Anthropometry[[#This Row],[Calf]]/10)</f>
        <v>34.855752521835839</v>
      </c>
      <c r="AE269" s="6"/>
      <c r="AF269" s="6"/>
    </row>
    <row r="270" spans="1:39" ht="14.45">
      <c r="A270" t="s">
        <v>44</v>
      </c>
      <c r="B270" s="12">
        <v>44152</v>
      </c>
      <c r="C270" s="14">
        <v>0.30208333333333331</v>
      </c>
      <c r="D270">
        <v>171.3</v>
      </c>
      <c r="E270">
        <v>68.599999999999994</v>
      </c>
      <c r="F270" s="6">
        <f>(E270/((D270/100)*(D270/100)))</f>
        <v>23.378109569723502</v>
      </c>
      <c r="G270" s="6">
        <f t="shared" si="0"/>
        <v>57.701792399999995</v>
      </c>
      <c r="H270" s="6">
        <f t="shared" si="1"/>
        <v>10.898207599999999</v>
      </c>
      <c r="K270">
        <v>30.3</v>
      </c>
      <c r="M270">
        <v>100.5</v>
      </c>
      <c r="N270">
        <v>58</v>
      </c>
      <c r="O270" s="6">
        <f t="shared" si="2"/>
        <v>147.81400000000002</v>
      </c>
      <c r="P270">
        <v>47.2</v>
      </c>
      <c r="Q270">
        <v>36.1</v>
      </c>
      <c r="R270">
        <v>17.2</v>
      </c>
      <c r="S270">
        <v>9.1999999999999993</v>
      </c>
      <c r="T270">
        <v>5.5</v>
      </c>
      <c r="U270">
        <v>12.6</v>
      </c>
      <c r="V270">
        <v>5.7</v>
      </c>
      <c r="W270">
        <v>11.8</v>
      </c>
      <c r="X270">
        <v>20.399999999999999</v>
      </c>
      <c r="Y270">
        <v>15.2</v>
      </c>
      <c r="Z270">
        <f t="shared" si="3"/>
        <v>97.600000000000009</v>
      </c>
      <c r="AA270" s="6">
        <f>((0.1548*SUM(R270:S270,V270:Y270))+3.58)</f>
        <v>15.886600000000001</v>
      </c>
      <c r="AB270" s="6">
        <f>Anthropometry[[#This Row],[Upper arm girth - R]]-(PI()*(Anthropometry[[#This Row],[Triceps]]/10))</f>
        <v>24.896460635825555</v>
      </c>
      <c r="AC270" s="6">
        <f>Anthropometry[[#This Row],[Mid-thighs]]-PI()*(Anthropometry[[#This Row],[Thigh]]/10)</f>
        <v>51.591150986676823</v>
      </c>
      <c r="AD270" s="6">
        <f>Anthropometry[[#This Row],[Mid-calf]]-PI()*(Anthropometry[[#This Row],[Calf]]/10)</f>
        <v>31.324779166543514</v>
      </c>
      <c r="AE270" s="6"/>
      <c r="AF270" s="6"/>
    </row>
    <row r="271" spans="1:39" ht="14.45">
      <c r="A271" t="s">
        <v>39</v>
      </c>
      <c r="B271" s="12">
        <v>44152</v>
      </c>
      <c r="C271" s="14">
        <v>0.34375</v>
      </c>
      <c r="D271" s="6">
        <v>180.7</v>
      </c>
      <c r="E271">
        <v>87.7</v>
      </c>
      <c r="G271" s="6">
        <f t="shared" si="0"/>
        <v>81.285183500000002</v>
      </c>
      <c r="H271" s="6">
        <f t="shared" si="1"/>
        <v>6.4148164999999997</v>
      </c>
      <c r="K271">
        <v>33</v>
      </c>
      <c r="M271">
        <v>103</v>
      </c>
      <c r="N271">
        <v>61.6</v>
      </c>
      <c r="O271" s="6">
        <f t="shared" si="2"/>
        <v>193.50400000000002</v>
      </c>
      <c r="P271">
        <v>51</v>
      </c>
      <c r="Q271">
        <v>41.3</v>
      </c>
      <c r="R271">
        <v>6.7</v>
      </c>
      <c r="S271">
        <v>7.7</v>
      </c>
      <c r="T271">
        <v>3</v>
      </c>
      <c r="U271">
        <v>11.8</v>
      </c>
      <c r="V271">
        <v>6.6</v>
      </c>
      <c r="W271">
        <v>12.8</v>
      </c>
      <c r="X271">
        <v>6.6</v>
      </c>
      <c r="Y271">
        <v>4.5999999999999996</v>
      </c>
      <c r="Z271" s="6">
        <f t="shared" si="3"/>
        <v>59.8</v>
      </c>
      <c r="AA271" s="6">
        <f>((0.1051*SUM(R271:S271,V271:Y271))+2.585)</f>
        <v>7.3144999999999998</v>
      </c>
      <c r="AB271" s="6">
        <f>Anthropometry[[#This Row],[Upper arm girth - R]]-(PI()*(Anthropometry[[#This Row],[Triceps]]/10))</f>
        <v>30.895132922094838</v>
      </c>
      <c r="AC271" s="6">
        <f>Anthropometry[[#This Row],[Mid-thighs]]-PI()*(Anthropometry[[#This Row],[Thigh]]/10)</f>
        <v>59.526548848630739</v>
      </c>
      <c r="AD271" s="6">
        <f>Anthropometry[[#This Row],[Mid-calf]]-PI()*(Anthropometry[[#This Row],[Calf]]/10)</f>
        <v>39.85486737934869</v>
      </c>
      <c r="AE271" s="6"/>
      <c r="AF271" s="6"/>
    </row>
    <row r="272" spans="1:39" ht="14.45">
      <c r="A272" t="s">
        <v>41</v>
      </c>
      <c r="B272" s="12">
        <v>44152</v>
      </c>
      <c r="C272" s="14">
        <v>0.38541666666666669</v>
      </c>
      <c r="D272">
        <v>177.5</v>
      </c>
      <c r="E272">
        <v>90.3</v>
      </c>
      <c r="G272" s="6">
        <f t="shared" si="0"/>
        <v>84.093608759999995</v>
      </c>
      <c r="H272" s="6">
        <f t="shared" si="1"/>
        <v>6.2063912400000003</v>
      </c>
      <c r="K272">
        <v>34</v>
      </c>
      <c r="M272">
        <v>105</v>
      </c>
      <c r="N272">
        <v>61.3</v>
      </c>
      <c r="O272" s="6">
        <f t="shared" si="2"/>
        <v>194.81699999999995</v>
      </c>
      <c r="P272">
        <v>48.8</v>
      </c>
      <c r="Q272">
        <v>37.299999999999997</v>
      </c>
      <c r="R272">
        <v>6.6</v>
      </c>
      <c r="S272">
        <v>8</v>
      </c>
      <c r="T272">
        <v>2.5</v>
      </c>
      <c r="U272">
        <v>9.6</v>
      </c>
      <c r="V272">
        <v>6</v>
      </c>
      <c r="W272">
        <v>10.4</v>
      </c>
      <c r="X272">
        <v>5.3</v>
      </c>
      <c r="Y272">
        <v>4.5</v>
      </c>
      <c r="Z272">
        <f t="shared" si="3"/>
        <v>52.9</v>
      </c>
      <c r="AA272" s="6">
        <f>((0.1051*SUM(R272:S272,V272:Y272))+2.585)</f>
        <v>6.8730799999999999</v>
      </c>
      <c r="AB272" s="6">
        <f>Anthropometry[[#This Row],[Upper arm girth - R]]-(PI()*(Anthropometry[[#This Row],[Triceps]]/10))</f>
        <v>31.926548848630738</v>
      </c>
      <c r="AC272" s="6">
        <f>Anthropometry[[#This Row],[Mid-thighs]]-PI()*(Anthropometry[[#This Row],[Thigh]]/10)</f>
        <v>59.634955893597407</v>
      </c>
      <c r="AD272" s="6">
        <f>Anthropometry[[#This Row],[Mid-calf]]-PI()*(Anthropometry[[#This Row],[Calf]]/10)</f>
        <v>35.886283305884589</v>
      </c>
      <c r="AE272" s="6"/>
      <c r="AF272" s="6"/>
    </row>
    <row r="273" spans="1:39" ht="14.45">
      <c r="A273" t="s">
        <v>47</v>
      </c>
      <c r="B273" s="12">
        <v>44211</v>
      </c>
      <c r="C273" s="14">
        <v>0.30208333333333331</v>
      </c>
      <c r="D273" s="6">
        <v>175.5</v>
      </c>
      <c r="E273">
        <v>75.7</v>
      </c>
      <c r="F273" s="6">
        <f>(E273/((D273/100)*(D273/100)))</f>
        <v>24.577722583420595</v>
      </c>
      <c r="G273" s="6">
        <f t="shared" si="0"/>
        <v>63.931647719999994</v>
      </c>
      <c r="H273" s="6">
        <f t="shared" si="1"/>
        <v>11.76835228</v>
      </c>
      <c r="K273">
        <v>33</v>
      </c>
      <c r="M273">
        <v>104.5</v>
      </c>
      <c r="N273">
        <v>61.5</v>
      </c>
      <c r="O273" s="6">
        <f t="shared" si="2"/>
        <v>162.94</v>
      </c>
      <c r="P273">
        <v>48.5</v>
      </c>
      <c r="Q273">
        <v>37.4</v>
      </c>
      <c r="R273">
        <v>17.2</v>
      </c>
      <c r="S273">
        <v>8.9</v>
      </c>
      <c r="T273">
        <v>6.5</v>
      </c>
      <c r="U273">
        <v>12.2</v>
      </c>
      <c r="V273">
        <v>6.6</v>
      </c>
      <c r="W273">
        <v>10.8</v>
      </c>
      <c r="X273">
        <v>21</v>
      </c>
      <c r="Y273">
        <v>12.8</v>
      </c>
      <c r="Z273">
        <f t="shared" si="3"/>
        <v>96</v>
      </c>
      <c r="AA273" s="6">
        <f>((0.1548*SUM(R273:S273,V273:Y273))+3.58)</f>
        <v>15.54604</v>
      </c>
      <c r="AB273" s="6">
        <f>Anthropometry[[#This Row],[Upper arm girth - R]]-(PI()*(Anthropometry[[#This Row],[Triceps]]/10))</f>
        <v>27.596460635825558</v>
      </c>
      <c r="AC273" s="6">
        <f>Anthropometry[[#This Row],[Mid-thighs]]-PI()*(Anthropometry[[#This Row],[Thigh]]/10)</f>
        <v>54.902655427461433</v>
      </c>
      <c r="AD273" s="6">
        <f>Anthropometry[[#This Row],[Mid-calf]]-PI()*(Anthropometry[[#This Row],[Calf]]/10)</f>
        <v>33.378761403405065</v>
      </c>
      <c r="AE273" s="6"/>
      <c r="AF273" s="6"/>
    </row>
    <row r="274" spans="1:39" ht="14.45">
      <c r="A274" t="s">
        <v>47</v>
      </c>
      <c r="B274" s="12">
        <v>44298</v>
      </c>
      <c r="C274" s="14">
        <v>0.38541666666666669</v>
      </c>
      <c r="D274" s="6">
        <v>175.5</v>
      </c>
      <c r="E274">
        <v>76.599999999999994</v>
      </c>
      <c r="F274" s="6">
        <f>(E274/((D274/100)*(D274/100)))</f>
        <v>24.869928003831138</v>
      </c>
      <c r="G274" s="6">
        <f t="shared" si="0"/>
        <v>65.023748399999988</v>
      </c>
      <c r="H274" s="6">
        <f t="shared" si="1"/>
        <v>11.576251599999997</v>
      </c>
      <c r="K274">
        <v>33</v>
      </c>
      <c r="M274">
        <v>105</v>
      </c>
      <c r="N274">
        <v>59.2</v>
      </c>
      <c r="O274" s="6">
        <f t="shared" si="2"/>
        <v>158.23699999999997</v>
      </c>
      <c r="P274">
        <v>49</v>
      </c>
      <c r="Q274">
        <v>37.5</v>
      </c>
      <c r="R274">
        <v>17.600000000000001</v>
      </c>
      <c r="S274">
        <v>9.4</v>
      </c>
      <c r="T274">
        <v>6.4</v>
      </c>
      <c r="U274">
        <v>10.199999999999999</v>
      </c>
      <c r="V274">
        <v>6</v>
      </c>
      <c r="W274">
        <v>11.6</v>
      </c>
      <c r="X274">
        <v>18.100000000000001</v>
      </c>
      <c r="Y274">
        <v>11.8</v>
      </c>
      <c r="Z274">
        <f t="shared" si="3"/>
        <v>91.1</v>
      </c>
      <c r="AA274" s="6">
        <f>((0.1548*SUM(R274:S274,V274:Y274))+3.58)</f>
        <v>15.112599999999999</v>
      </c>
      <c r="AB274" s="6">
        <f>Anthropometry[[#This Row],[Upper arm girth - R]]-(PI()*(Anthropometry[[#This Row],[Triceps]]/10))</f>
        <v>27.470796929681963</v>
      </c>
      <c r="AC274" s="6">
        <f>Anthropometry[[#This Row],[Mid-thighs]]-PI()*(Anthropometry[[#This Row],[Thigh]]/10)</f>
        <v>53.513717297002479</v>
      </c>
      <c r="AD274" s="6">
        <f>Anthropometry[[#This Row],[Mid-calf]]-PI()*(Anthropometry[[#This Row],[Calf]]/10)</f>
        <v>33.79292066876404</v>
      </c>
      <c r="AE274" s="6"/>
      <c r="AF274" s="6"/>
    </row>
    <row r="275" spans="1:39" ht="14.45">
      <c r="A275" t="s">
        <v>50</v>
      </c>
      <c r="B275" s="12">
        <v>43109</v>
      </c>
      <c r="C275" s="14">
        <v>0.65625</v>
      </c>
      <c r="D275" s="22">
        <v>161.6</v>
      </c>
      <c r="E275">
        <v>67.900000000000006</v>
      </c>
      <c r="F275" s="22">
        <f>(E275/((D275/100)*(D275/100)))</f>
        <v>26.000820997941386</v>
      </c>
      <c r="G275" s="13">
        <f t="shared" si="0"/>
        <v>41.945741040000001</v>
      </c>
      <c r="H275" s="22">
        <f t="shared" si="1"/>
        <v>25.954258960000004</v>
      </c>
      <c r="I275" s="22"/>
      <c r="J275" s="22"/>
      <c r="K275">
        <v>28.5</v>
      </c>
      <c r="N275" s="6">
        <f>(((4.68*O275)-(2.09*X275))-80.99)</f>
        <v>97.207999999999984</v>
      </c>
      <c r="O275" s="6">
        <v>54.6</v>
      </c>
      <c r="Q275">
        <v>38.4</v>
      </c>
      <c r="R275">
        <v>14.6</v>
      </c>
      <c r="S275">
        <v>9.6</v>
      </c>
      <c r="T275">
        <v>4.5</v>
      </c>
      <c r="U275">
        <v>15</v>
      </c>
      <c r="V275">
        <v>9.1999999999999993</v>
      </c>
      <c r="W275">
        <v>21</v>
      </c>
      <c r="X275">
        <v>37</v>
      </c>
      <c r="Y275">
        <v>20.399999999999999</v>
      </c>
      <c r="Z275">
        <f t="shared" si="3"/>
        <v>131.30000000000001</v>
      </c>
      <c r="AA275" s="6">
        <f>((0.1548*SUM(S275:T275,W275:Z275))+3.58)</f>
        <v>38.224240000000002</v>
      </c>
      <c r="AB275" s="6">
        <f>Anthropometry[[#This Row],[Upper arm girth - R]]-(PI()*(Anthropometry[[#This Row],[Triceps]]/10))</f>
        <v>23.913274725758903</v>
      </c>
      <c r="AC275" s="6">
        <f>Anthropometry[[#This Row],[Mid-thighs]]-PI()*(Anthropometry[[#This Row],[Thigh]]/10)</f>
        <v>85.584107181717755</v>
      </c>
      <c r="AD275" s="6">
        <f>Anthropometry[[#This Row],[Mid-calf]]-PI()*(Anthropometry[[#This Row],[Calf]]/10)</f>
        <v>31.991150986676821</v>
      </c>
      <c r="AE275" s="6"/>
      <c r="AF275" s="6"/>
    </row>
    <row r="276" spans="1:39" ht="14.45">
      <c r="A276" t="s">
        <v>50</v>
      </c>
      <c r="B276" s="12">
        <v>43299</v>
      </c>
      <c r="C276" s="14">
        <v>0.57291666666666663</v>
      </c>
      <c r="D276" s="22">
        <v>161.6</v>
      </c>
      <c r="E276">
        <v>66.099999999999994</v>
      </c>
      <c r="F276" s="22">
        <f>(E276/((D276/100)*(D276/100)))</f>
        <v>25.311550338202139</v>
      </c>
      <c r="G276" s="13">
        <f t="shared" si="0"/>
        <v>42.962091599999994</v>
      </c>
      <c r="H276" s="22">
        <f t="shared" si="1"/>
        <v>23.137908399999993</v>
      </c>
      <c r="I276" s="22"/>
      <c r="J276" s="22"/>
      <c r="K276">
        <v>26.4</v>
      </c>
      <c r="N276" s="6">
        <f>(((4.68*O276)-(2.09*X276))-80.99)</f>
        <v>93.314000000000007</v>
      </c>
      <c r="O276" s="6">
        <v>53.5</v>
      </c>
      <c r="Q276">
        <v>36.5</v>
      </c>
      <c r="R276">
        <v>11.4</v>
      </c>
      <c r="S276">
        <v>8.4</v>
      </c>
      <c r="T276">
        <v>3.9</v>
      </c>
      <c r="U276">
        <v>15.4</v>
      </c>
      <c r="V276">
        <v>8.4</v>
      </c>
      <c r="W276">
        <v>20</v>
      </c>
      <c r="X276">
        <v>36.4</v>
      </c>
      <c r="Y276">
        <v>15.2</v>
      </c>
      <c r="Z276">
        <f t="shared" si="3"/>
        <v>119.10000000000001</v>
      </c>
      <c r="AA276" s="6">
        <f>((0.1548*SUM(S276:T276,W276:Z276))+3.58)</f>
        <v>35.004399999999997</v>
      </c>
      <c r="AB276" s="6">
        <f>Anthropometry[[#This Row],[Upper arm girth - R]]-(PI()*(Anthropometry[[#This Row],[Triceps]]/10))</f>
        <v>22.818584374907633</v>
      </c>
      <c r="AC276" s="6">
        <f>Anthropometry[[#This Row],[Mid-thighs]]-PI()*(Anthropometry[[#This Row],[Thigh]]/10)</f>
        <v>81.878602740933161</v>
      </c>
      <c r="AD276" s="6">
        <f>Anthropometry[[#This Row],[Mid-calf]]-PI()*(Anthropometry[[#This Row],[Calf]]/10)</f>
        <v>31.724779166543513</v>
      </c>
      <c r="AE276" s="6"/>
      <c r="AF276" s="6"/>
    </row>
    <row r="277" spans="1:39" ht="14.45">
      <c r="A277" t="s">
        <v>40</v>
      </c>
      <c r="B277" s="12">
        <v>44152</v>
      </c>
      <c r="C277" s="14">
        <v>0.35416666666666669</v>
      </c>
      <c r="D277" s="6">
        <v>183.4</v>
      </c>
      <c r="E277">
        <v>83.8</v>
      </c>
      <c r="G277" s="6">
        <f t="shared" si="0"/>
        <v>78.163662279999997</v>
      </c>
      <c r="H277" s="6">
        <f t="shared" si="1"/>
        <v>5.6363377199999993</v>
      </c>
      <c r="K277">
        <v>33.1</v>
      </c>
      <c r="M277">
        <v>102</v>
      </c>
      <c r="N277">
        <v>59.2</v>
      </c>
      <c r="O277" s="6">
        <f t="shared" ref="O277:O283" si="4">(((4.68*N277)-(2.09*X277))-80.99)</f>
        <v>185.61599999999999</v>
      </c>
      <c r="P277">
        <v>48.2</v>
      </c>
      <c r="Q277">
        <v>35.5</v>
      </c>
      <c r="R277">
        <v>5.3</v>
      </c>
      <c r="S277">
        <v>9</v>
      </c>
      <c r="T277">
        <v>2.5</v>
      </c>
      <c r="U277">
        <v>7.2</v>
      </c>
      <c r="V277">
        <v>4.5999999999999996</v>
      </c>
      <c r="W277">
        <v>12</v>
      </c>
      <c r="X277">
        <v>5</v>
      </c>
      <c r="Y277">
        <v>3.5</v>
      </c>
      <c r="Z277">
        <f t="shared" si="3"/>
        <v>49.1</v>
      </c>
      <c r="AA277" s="6">
        <f>((0.1051*SUM(R277:S277,V277:Y277))+2.585)</f>
        <v>6.7259399999999996</v>
      </c>
      <c r="AB277" s="6">
        <f>Anthropometry[[#This Row],[Upper arm girth - R]]-(PI()*(Anthropometry[[#This Row],[Triceps]]/10))</f>
        <v>31.434955893597412</v>
      </c>
      <c r="AC277" s="6">
        <f>Anthropometry[[#This Row],[Mid-thighs]]-PI()*(Anthropometry[[#This Row],[Thigh]]/10)</f>
        <v>57.629203673205105</v>
      </c>
      <c r="AD277" s="6">
        <f>Anthropometry[[#This Row],[Mid-calf]]-PI()*(Anthropometry[[#This Row],[Calf]]/10)</f>
        <v>34.400442571243573</v>
      </c>
      <c r="AE277" s="6"/>
      <c r="AF277" s="6"/>
    </row>
    <row r="278" spans="1:39" ht="14.45">
      <c r="A278" t="s">
        <v>49</v>
      </c>
      <c r="B278" s="12">
        <v>44152</v>
      </c>
      <c r="C278" s="14">
        <v>0.27083333333333331</v>
      </c>
      <c r="D278">
        <v>163.6</v>
      </c>
      <c r="E278">
        <v>64.2</v>
      </c>
      <c r="F278" s="6">
        <f>(E278/((D278/100)*(D278/100)))</f>
        <v>23.986585446045879</v>
      </c>
      <c r="G278" s="6">
        <f t="shared" si="0"/>
        <v>53.871606720000003</v>
      </c>
      <c r="H278" s="6">
        <f t="shared" si="1"/>
        <v>10.32839328</v>
      </c>
      <c r="K278">
        <v>28.5</v>
      </c>
      <c r="M278">
        <v>101.5</v>
      </c>
      <c r="N278">
        <v>54.5</v>
      </c>
      <c r="O278" s="6">
        <f t="shared" si="4"/>
        <v>128.08999999999997</v>
      </c>
      <c r="P278">
        <v>45</v>
      </c>
      <c r="Q278">
        <v>37.9</v>
      </c>
      <c r="R278">
        <v>15.5</v>
      </c>
      <c r="S278">
        <v>12.2</v>
      </c>
      <c r="T278">
        <v>4.7</v>
      </c>
      <c r="U278">
        <v>9.4</v>
      </c>
      <c r="V278">
        <v>8</v>
      </c>
      <c r="W278">
        <v>12.1</v>
      </c>
      <c r="X278">
        <v>22</v>
      </c>
      <c r="Y278">
        <v>11</v>
      </c>
      <c r="Z278">
        <f t="shared" si="3"/>
        <v>94.9</v>
      </c>
      <c r="AA278" s="6">
        <f>((0.1548*SUM(R278:S278,V278:Y278))+3.58)</f>
        <v>16.08784</v>
      </c>
      <c r="AB278" s="6">
        <f>Anthropometry[[#This Row],[Upper arm girth - R]]-(PI()*(Anthropometry[[#This Row],[Triceps]]/10))</f>
        <v>23.630531386935822</v>
      </c>
      <c r="AC278" s="6">
        <f>Anthropometry[[#This Row],[Mid-thighs]]-PI()*(Anthropometry[[#This Row],[Thigh]]/10)</f>
        <v>47.588496162102452</v>
      </c>
      <c r="AD278" s="6">
        <f>Anthropometry[[#This Row],[Mid-calf]]-PI()*(Anthropometry[[#This Row],[Calf]]/10)</f>
        <v>34.444248081051228</v>
      </c>
      <c r="AE278" s="6"/>
      <c r="AF278" s="6"/>
    </row>
    <row r="279" spans="1:39" ht="14.45">
      <c r="A279" t="s">
        <v>51</v>
      </c>
      <c r="B279" s="5">
        <v>44180</v>
      </c>
      <c r="C279" s="14">
        <v>0.4375</v>
      </c>
      <c r="D279">
        <v>170.6</v>
      </c>
      <c r="E279">
        <v>71.400000000000006</v>
      </c>
      <c r="F279" s="6">
        <f>(E279/((D279/100)*(D279/100)))</f>
        <v>24.532406828392727</v>
      </c>
      <c r="G279" s="6">
        <f t="shared" si="0"/>
        <v>60.377496480000005</v>
      </c>
      <c r="H279" s="6">
        <f t="shared" si="1"/>
        <v>11.022503520000001</v>
      </c>
      <c r="K279">
        <v>30.1</v>
      </c>
      <c r="M279">
        <v>102.5</v>
      </c>
      <c r="N279">
        <v>60.2</v>
      </c>
      <c r="O279" s="6">
        <f t="shared" si="4"/>
        <v>166.46999999999997</v>
      </c>
      <c r="P279">
        <v>49.6</v>
      </c>
      <c r="Q279">
        <v>37.5</v>
      </c>
      <c r="R279">
        <v>17.2</v>
      </c>
      <c r="S279">
        <v>9.8000000000000007</v>
      </c>
      <c r="T279">
        <v>5.4</v>
      </c>
      <c r="U279">
        <v>11.8</v>
      </c>
      <c r="V279">
        <v>7.4</v>
      </c>
      <c r="W279">
        <v>16.600000000000001</v>
      </c>
      <c r="X279">
        <v>16.399999999999999</v>
      </c>
      <c r="Y279">
        <v>9.1999999999999993</v>
      </c>
      <c r="Z279">
        <f t="shared" si="3"/>
        <v>93.8</v>
      </c>
      <c r="AA279" s="6">
        <f>((0.1548*SUM(R279:S279,V279:Y279))+3.58)</f>
        <v>15.43768</v>
      </c>
      <c r="AB279" s="6">
        <f>Anthropometry[[#This Row],[Upper arm girth - R]]-(PI()*(Anthropometry[[#This Row],[Triceps]]/10))</f>
        <v>24.696460635825559</v>
      </c>
      <c r="AC279" s="6">
        <f>Anthropometry[[#This Row],[Mid-thighs]]-PI()*(Anthropometry[[#This Row],[Thigh]]/10)</f>
        <v>55.047788048112743</v>
      </c>
      <c r="AD279" s="6">
        <f>Anthropometry[[#This Row],[Mid-calf]]-PI()*(Anthropometry[[#This Row],[Calf]]/10)</f>
        <v>34.609734758697392</v>
      </c>
      <c r="AE279" s="6"/>
      <c r="AF279" s="6"/>
    </row>
    <row r="280" spans="1:39" ht="14.45">
      <c r="A280" t="s">
        <v>48</v>
      </c>
      <c r="B280" s="12">
        <v>44211</v>
      </c>
      <c r="C280" s="14">
        <v>0.34375</v>
      </c>
      <c r="D280" s="6">
        <v>185.7</v>
      </c>
      <c r="E280">
        <v>92.7</v>
      </c>
      <c r="G280" s="6">
        <f t="shared" si="0"/>
        <v>84.64315563000001</v>
      </c>
      <c r="H280" s="6">
        <f t="shared" si="1"/>
        <v>8.0568443700000003</v>
      </c>
      <c r="K280">
        <v>34.5</v>
      </c>
      <c r="M280">
        <v>109.2</v>
      </c>
      <c r="N280">
        <v>60.2</v>
      </c>
      <c r="O280" s="6">
        <f t="shared" si="4"/>
        <v>181.72699999999998</v>
      </c>
      <c r="P280">
        <v>48.5</v>
      </c>
      <c r="Q280">
        <v>40.700000000000003</v>
      </c>
      <c r="R280">
        <v>11.2</v>
      </c>
      <c r="S280">
        <v>9.6</v>
      </c>
      <c r="T280">
        <v>3.8</v>
      </c>
      <c r="U280">
        <v>12.2</v>
      </c>
      <c r="V280">
        <v>8.4</v>
      </c>
      <c r="W280">
        <v>12.2</v>
      </c>
      <c r="X280">
        <v>9.1</v>
      </c>
      <c r="Y280">
        <v>7.6</v>
      </c>
      <c r="Z280">
        <f t="shared" si="3"/>
        <v>74.09999999999998</v>
      </c>
      <c r="AA280" s="6">
        <f>((0.1051*SUM(R280:S280,V280:Y280))+2.585)</f>
        <v>8.6913099999999996</v>
      </c>
      <c r="AB280" s="6">
        <f>Anthropometry[[#This Row],[Upper arm girth - R]]-(PI()*(Anthropometry[[#This Row],[Triceps]]/10))</f>
        <v>30.98141622797943</v>
      </c>
      <c r="AC280" s="6">
        <f>Anthropometry[[#This Row],[Mid-thighs]]-PI()*(Anthropometry[[#This Row],[Thigh]]/10)</f>
        <v>57.341150685233288</v>
      </c>
      <c r="AD280" s="6">
        <f>Anthropometry[[#This Row],[Mid-calf]]-PI()*(Anthropometry[[#This Row],[Calf]]/10)</f>
        <v>38.312389583271759</v>
      </c>
      <c r="AE280" s="6"/>
      <c r="AF280" s="6"/>
      <c r="AM280">
        <f>Anthropometry[[#This Row],[DEXA Pelvis (kg)]] + Anthropometry[[#This Row],[ DEXA LLM (kg)]]</f>
        <v>0</v>
      </c>
    </row>
    <row r="281" spans="1:39" ht="14.45">
      <c r="A281" t="s">
        <v>44</v>
      </c>
      <c r="B281" s="12">
        <v>44211</v>
      </c>
      <c r="C281" s="14">
        <v>0.32291666666666669</v>
      </c>
      <c r="D281" s="6">
        <v>171.3</v>
      </c>
      <c r="E281">
        <v>68.8</v>
      </c>
      <c r="F281" s="6">
        <f>(E281/((D281/100)*(D281/100)))</f>
        <v>23.446267323571096</v>
      </c>
      <c r="G281" s="6">
        <f t="shared" si="0"/>
        <v>56.804995199999993</v>
      </c>
      <c r="H281" s="6">
        <f t="shared" si="1"/>
        <v>11.995004799999998</v>
      </c>
      <c r="K281">
        <v>29.7</v>
      </c>
      <c r="M281">
        <v>99.5</v>
      </c>
      <c r="N281">
        <v>57.7</v>
      </c>
      <c r="O281" s="6">
        <f t="shared" si="4"/>
        <v>142.23000000000002</v>
      </c>
      <c r="P281">
        <v>47</v>
      </c>
      <c r="Q281">
        <v>36</v>
      </c>
      <c r="R281">
        <v>19.600000000000001</v>
      </c>
      <c r="S281">
        <v>9.4</v>
      </c>
      <c r="T281">
        <v>5.2</v>
      </c>
      <c r="U281">
        <v>12.4</v>
      </c>
      <c r="V281">
        <v>6.8</v>
      </c>
      <c r="W281">
        <v>14.3</v>
      </c>
      <c r="X281">
        <v>22.4</v>
      </c>
      <c r="Y281">
        <v>17</v>
      </c>
      <c r="Z281">
        <f t="shared" si="3"/>
        <v>107.1</v>
      </c>
      <c r="AA281" s="6">
        <f>((0.1548*SUM(R281:S281,V281:Y281))+3.58)</f>
        <v>17.4346</v>
      </c>
      <c r="AB281" s="6">
        <f>Anthropometry[[#This Row],[Upper arm girth - R]]-(PI()*(Anthropometry[[#This Row],[Triceps]]/10))</f>
        <v>23.542478398964004</v>
      </c>
      <c r="AC281" s="6">
        <f>Anthropometry[[#This Row],[Mid-thighs]]-PI()*(Anthropometry[[#This Row],[Thigh]]/10)</f>
        <v>50.662832455958863</v>
      </c>
      <c r="AD281" s="6">
        <f>Anthropometry[[#This Row],[Mid-calf]]-PI()*(Anthropometry[[#This Row],[Calf]]/10)</f>
        <v>30.65929248889735</v>
      </c>
      <c r="AE281" s="6"/>
      <c r="AF281" s="6"/>
    </row>
    <row r="282" spans="1:39" ht="14.45">
      <c r="A282" t="s">
        <v>39</v>
      </c>
      <c r="B282" s="12">
        <v>44211</v>
      </c>
      <c r="C282" s="14">
        <v>0.33333333333333331</v>
      </c>
      <c r="D282">
        <v>180.7</v>
      </c>
      <c r="E282">
        <v>86.1</v>
      </c>
      <c r="G282" s="6">
        <f t="shared" si="0"/>
        <v>79.847461050000007</v>
      </c>
      <c r="H282" s="6">
        <f t="shared" si="1"/>
        <v>6.2525389499999999</v>
      </c>
      <c r="K282">
        <v>32</v>
      </c>
      <c r="M282">
        <v>101</v>
      </c>
      <c r="N282">
        <v>61.2</v>
      </c>
      <c r="O282" s="6">
        <f t="shared" si="4"/>
        <v>191.63200000000001</v>
      </c>
      <c r="P282">
        <v>49.5</v>
      </c>
      <c r="Q282">
        <v>40.4</v>
      </c>
      <c r="R282">
        <v>6.5</v>
      </c>
      <c r="S282">
        <v>7.5</v>
      </c>
      <c r="T282">
        <v>3.5</v>
      </c>
      <c r="U282">
        <v>11.3</v>
      </c>
      <c r="V282">
        <v>6.3</v>
      </c>
      <c r="W282">
        <v>13.2</v>
      </c>
      <c r="X282">
        <v>6.6</v>
      </c>
      <c r="Y282">
        <v>4.4000000000000004</v>
      </c>
      <c r="Z282" s="6">
        <f t="shared" si="3"/>
        <v>59.3</v>
      </c>
      <c r="AA282" s="6">
        <f>((0.1051*SUM(R282:S282,V282:Y282))+2.585)</f>
        <v>7.2619499999999997</v>
      </c>
      <c r="AB282" s="6">
        <f>Anthropometry[[#This Row],[Upper arm girth - R]]-(PI()*(Anthropometry[[#This Row],[Triceps]]/10))</f>
        <v>29.957964775166634</v>
      </c>
      <c r="AC282" s="6">
        <f>Anthropometry[[#This Row],[Mid-thighs]]-PI()*(Anthropometry[[#This Row],[Thigh]]/10)</f>
        <v>59.12654884863074</v>
      </c>
      <c r="AD282" s="6">
        <f>Anthropometry[[#This Row],[Mid-calf]]-PI()*(Anthropometry[[#This Row],[Calf]]/10)</f>
        <v>39.01769923242049</v>
      </c>
      <c r="AE282" s="6"/>
      <c r="AF282" s="6"/>
    </row>
    <row r="283" spans="1:39" ht="14.45">
      <c r="A283" t="s">
        <v>41</v>
      </c>
      <c r="B283" s="12">
        <v>44211</v>
      </c>
      <c r="C283" s="14">
        <v>0.36458333333333331</v>
      </c>
      <c r="D283" s="6">
        <v>177.5</v>
      </c>
      <c r="E283">
        <v>89.6</v>
      </c>
      <c r="G283" s="6">
        <f t="shared" si="0"/>
        <v>83.611225599999997</v>
      </c>
      <c r="H283" s="6">
        <f t="shared" si="1"/>
        <v>5.9887743999999987</v>
      </c>
      <c r="K283">
        <v>34</v>
      </c>
      <c r="M283">
        <v>104</v>
      </c>
      <c r="N283">
        <v>62</v>
      </c>
      <c r="O283" s="6">
        <f t="shared" si="4"/>
        <v>198.30199999999996</v>
      </c>
      <c r="P283">
        <v>49</v>
      </c>
      <c r="Q283">
        <v>38</v>
      </c>
      <c r="R283">
        <v>6.4</v>
      </c>
      <c r="S283">
        <v>7.6</v>
      </c>
      <c r="T283">
        <v>2.6</v>
      </c>
      <c r="U283">
        <v>9.1</v>
      </c>
      <c r="V283">
        <v>5.2</v>
      </c>
      <c r="W283">
        <v>9.8000000000000007</v>
      </c>
      <c r="X283">
        <v>5.2</v>
      </c>
      <c r="Y283">
        <v>4.8</v>
      </c>
      <c r="Z283">
        <f t="shared" si="3"/>
        <v>50.7</v>
      </c>
      <c r="AA283" s="6">
        <f>((0.1051*SUM(R283:S283,V283:Y283))+2.585)</f>
        <v>6.6838999999999995</v>
      </c>
      <c r="AB283" s="6">
        <f>Anthropometry[[#This Row],[Upper arm girth - R]]-(PI()*(Anthropometry[[#This Row],[Triceps]]/10))</f>
        <v>31.989380701702533</v>
      </c>
      <c r="AC283" s="6">
        <f>Anthropometry[[#This Row],[Mid-thighs]]-PI()*(Anthropometry[[#This Row],[Thigh]]/10)</f>
        <v>60.36637182013331</v>
      </c>
      <c r="AD283" s="6">
        <f>Anthropometry[[#This Row],[Mid-calf]]-PI()*(Anthropometry[[#This Row],[Calf]]/10)</f>
        <v>36.492035526276901</v>
      </c>
      <c r="AE283" s="6"/>
      <c r="AF283" s="6"/>
    </row>
    <row r="284" spans="1:39" ht="14.45">
      <c r="A284" t="s">
        <v>50</v>
      </c>
      <c r="B284" s="12">
        <v>43426</v>
      </c>
      <c r="C284" s="14">
        <v>0.54166666666666663</v>
      </c>
      <c r="D284" s="22">
        <v>161.6</v>
      </c>
      <c r="E284">
        <v>65.3</v>
      </c>
      <c r="F284" s="22">
        <f>(E284/((D284/100)*(D284/100)))</f>
        <v>25.005207822762479</v>
      </c>
      <c r="G284" s="13">
        <f t="shared" si="0"/>
        <v>45.424116600000005</v>
      </c>
      <c r="H284" s="22">
        <f t="shared" si="1"/>
        <v>19.875883399999999</v>
      </c>
      <c r="I284" s="22"/>
      <c r="J284" s="22"/>
      <c r="K284">
        <v>27</v>
      </c>
      <c r="M284">
        <v>98</v>
      </c>
      <c r="N284" s="6">
        <f>(((4.68*O284)-(2.09*X284))-80.99)</f>
        <v>112.79199999999999</v>
      </c>
      <c r="O284" s="6">
        <v>54</v>
      </c>
      <c r="P284">
        <v>45</v>
      </c>
      <c r="Q284">
        <v>36.5</v>
      </c>
      <c r="R284">
        <v>10.1</v>
      </c>
      <c r="S284">
        <v>7.6</v>
      </c>
      <c r="T284">
        <v>3.9</v>
      </c>
      <c r="U284">
        <v>14.2</v>
      </c>
      <c r="V284">
        <v>8</v>
      </c>
      <c r="W284">
        <v>16.399999999999999</v>
      </c>
      <c r="X284">
        <v>28.2</v>
      </c>
      <c r="Y284">
        <v>14.5</v>
      </c>
      <c r="Z284">
        <f t="shared" si="3"/>
        <v>102.89999999999999</v>
      </c>
      <c r="AA284" s="6">
        <f>((0.1548*SUM(S284:T284,W284:Z284))+3.58)</f>
        <v>30.437799999999996</v>
      </c>
      <c r="AB284" s="6">
        <f>Anthropometry[[#This Row],[Upper arm girth - R]]-(PI()*(Anthropometry[[#This Row],[Triceps]]/10))</f>
        <v>23.826991419874311</v>
      </c>
      <c r="AC284" s="6">
        <f>Anthropometry[[#This Row],[Mid-thighs]]-PI()*(Anthropometry[[#This Row],[Thigh]]/10)</f>
        <v>103.93270871687677</v>
      </c>
      <c r="AD284" s="6">
        <f>Anthropometry[[#This Row],[Mid-calf]]-PI()*(Anthropometry[[#This Row],[Calf]]/10)</f>
        <v>31.944690652294799</v>
      </c>
      <c r="AE284" s="6"/>
      <c r="AF284" s="6"/>
    </row>
    <row r="285" spans="1:39" ht="14.45">
      <c r="A285" t="s">
        <v>50</v>
      </c>
      <c r="B285" s="12">
        <v>43497</v>
      </c>
      <c r="C285" s="14">
        <v>0.52083333333333337</v>
      </c>
      <c r="D285" s="22">
        <v>161.6</v>
      </c>
      <c r="E285">
        <v>65</v>
      </c>
      <c r="F285" s="22">
        <f>(E285/((D285/100)*(D285/100)))</f>
        <v>24.890329379472604</v>
      </c>
      <c r="G285" s="13">
        <f t="shared" si="0"/>
        <v>45.245616000000005</v>
      </c>
      <c r="H285" s="22">
        <f t="shared" si="1"/>
        <v>19.754383999999998</v>
      </c>
      <c r="I285" s="22"/>
      <c r="J285" s="22"/>
      <c r="K285">
        <v>27</v>
      </c>
      <c r="M285">
        <v>96.5</v>
      </c>
      <c r="N285" s="6">
        <f>(((4.68*O285)-(2.09*X285))-80.99)</f>
        <v>115.29999999999997</v>
      </c>
      <c r="O285" s="6">
        <v>54</v>
      </c>
      <c r="P285">
        <v>44.3</v>
      </c>
      <c r="Q285">
        <v>36.5</v>
      </c>
      <c r="R285">
        <v>12</v>
      </c>
      <c r="S285">
        <v>7.8</v>
      </c>
      <c r="T285">
        <v>3.6</v>
      </c>
      <c r="U285">
        <v>11.8</v>
      </c>
      <c r="V285">
        <v>7.6</v>
      </c>
      <c r="W285">
        <v>18</v>
      </c>
      <c r="X285">
        <v>27</v>
      </c>
      <c r="Y285">
        <v>14.5</v>
      </c>
      <c r="Z285">
        <f t="shared" si="3"/>
        <v>102.30000000000001</v>
      </c>
      <c r="AA285" s="6">
        <f>((0.1548*SUM(S285:T285,W285:Z285))+3.58)</f>
        <v>30.391359999999999</v>
      </c>
      <c r="AB285" s="6">
        <f>Anthropometry[[#This Row],[Upper arm girth - R]]-(PI()*(Anthropometry[[#This Row],[Triceps]]/10))</f>
        <v>23.230088815692248</v>
      </c>
      <c r="AC285" s="6">
        <f>Anthropometry[[#This Row],[Mid-thighs]]-PI()*(Anthropometry[[#This Row],[Thigh]]/10)</f>
        <v>106.81769983530752</v>
      </c>
      <c r="AD285" s="6">
        <f>Anthropometry[[#This Row],[Mid-calf]]-PI()*(Anthropometry[[#This Row],[Calf]]/10)</f>
        <v>31.944690652294799</v>
      </c>
      <c r="AE285" s="6"/>
      <c r="AF285" s="6"/>
    </row>
    <row r="286" spans="1:39" ht="14.45">
      <c r="A286" t="s">
        <v>50</v>
      </c>
      <c r="B286" s="12">
        <v>43558</v>
      </c>
      <c r="C286" s="14">
        <v>0.10416666666666667</v>
      </c>
      <c r="D286" s="22">
        <v>161.9</v>
      </c>
      <c r="E286">
        <v>64.5</v>
      </c>
      <c r="F286" s="22">
        <f>(E286/((D286/100)*(D286/100)))</f>
        <v>24.607416331923144</v>
      </c>
      <c r="G286" s="13">
        <f t="shared" si="0"/>
        <v>46.574985600000005</v>
      </c>
      <c r="H286" s="22">
        <f t="shared" si="1"/>
        <v>17.925014400000002</v>
      </c>
      <c r="I286" s="22"/>
      <c r="J286" s="22"/>
      <c r="K286">
        <v>26.6</v>
      </c>
      <c r="M286">
        <v>97.8</v>
      </c>
      <c r="N286" s="6"/>
      <c r="O286" s="6"/>
      <c r="Q286">
        <v>36.6</v>
      </c>
      <c r="R286">
        <v>7.6</v>
      </c>
      <c r="S286">
        <v>7.4</v>
      </c>
      <c r="T286">
        <v>4.0999999999999996</v>
      </c>
      <c r="U286">
        <v>9.8000000000000007</v>
      </c>
      <c r="V286">
        <v>7.2</v>
      </c>
      <c r="W286">
        <v>14</v>
      </c>
      <c r="X286">
        <v>27</v>
      </c>
      <c r="Y286">
        <v>13.4</v>
      </c>
      <c r="Z286">
        <f t="shared" si="3"/>
        <v>90.5</v>
      </c>
      <c r="AA286" s="6">
        <f>((0.1548*SUM(S286:T286,W286:Z286))+3.58)</f>
        <v>27.79072</v>
      </c>
      <c r="AB286" s="6">
        <f>Anthropometry[[#This Row],[Upper arm girth - R]]-(PI()*(Anthropometry[[#This Row],[Triceps]]/10))</f>
        <v>24.212389583271758</v>
      </c>
      <c r="AC286" s="6">
        <f>Anthropometry[[#This Row],[Mid-thighs]]-PI()*(Anthropometry[[#This Row],[Thigh]]/10)</f>
        <v>-8.4823001646924414</v>
      </c>
      <c r="AD286" s="6">
        <f>Anthropometry[[#This Row],[Mid-calf]]-PI()*(Anthropometry[[#This Row],[Calf]]/10)</f>
        <v>32.390265844189678</v>
      </c>
      <c r="AE286" s="6"/>
      <c r="AF286" s="6"/>
    </row>
    <row r="287" spans="1:39" ht="14.45">
      <c r="A287" t="s">
        <v>50</v>
      </c>
      <c r="B287" s="12">
        <v>43774</v>
      </c>
      <c r="C287" s="14">
        <v>0.52083333333333337</v>
      </c>
      <c r="D287" s="22">
        <v>162.19999999999999</v>
      </c>
      <c r="E287">
        <v>63.9</v>
      </c>
      <c r="F287" s="22">
        <f>(E287/((D287/100)*(D287/100)))</f>
        <v>24.288414084391409</v>
      </c>
      <c r="G287" s="13">
        <f t="shared" si="0"/>
        <v>46.319780880000003</v>
      </c>
      <c r="H287" s="22">
        <f t="shared" si="1"/>
        <v>17.580219119999995</v>
      </c>
      <c r="I287" s="22"/>
      <c r="J287" s="22"/>
      <c r="K287">
        <v>27.5</v>
      </c>
      <c r="M287">
        <v>99.9</v>
      </c>
      <c r="N287" s="6">
        <f>(((4.68*O287)-(2.09*X287))-80.99)</f>
        <v>114.80899999999998</v>
      </c>
      <c r="O287" s="6">
        <v>52.6</v>
      </c>
      <c r="P287">
        <v>43.4</v>
      </c>
      <c r="Q287">
        <v>36.700000000000003</v>
      </c>
      <c r="R287">
        <v>7.8</v>
      </c>
      <c r="S287">
        <v>7.4</v>
      </c>
      <c r="T287">
        <v>3.1</v>
      </c>
      <c r="U287">
        <v>14</v>
      </c>
      <c r="V287">
        <v>7.6</v>
      </c>
      <c r="W287">
        <v>15.2</v>
      </c>
      <c r="X287">
        <v>24.1</v>
      </c>
      <c r="Y287">
        <v>12.8</v>
      </c>
      <c r="Z287">
        <f t="shared" si="3"/>
        <v>91.999999999999986</v>
      </c>
      <c r="AA287" s="6">
        <f>((0.1548*SUM(S287:T287,W287:Z287))+3.58)</f>
        <v>27.51207999999999</v>
      </c>
      <c r="AB287" s="6">
        <f>Anthropometry[[#This Row],[Upper arm girth - R]]-(PI()*(Anthropometry[[#This Row],[Triceps]]/10))</f>
        <v>25.049557730199961</v>
      </c>
      <c r="AC287" s="6">
        <f>Anthropometry[[#This Row],[Mid-thighs]]-PI()*(Anthropometry[[#This Row],[Thigh]]/10)</f>
        <v>107.23776170484858</v>
      </c>
      <c r="AD287" s="6">
        <f>Anthropometry[[#This Row],[Mid-calf]]-PI()*(Anthropometry[[#This Row],[Calf]]/10)</f>
        <v>32.678761403405069</v>
      </c>
      <c r="AE287" s="6"/>
      <c r="AF287" s="6"/>
    </row>
    <row r="288" spans="1:39" ht="14.45">
      <c r="A288" t="s">
        <v>50</v>
      </c>
      <c r="B288" s="12">
        <v>43854</v>
      </c>
      <c r="C288" s="14">
        <v>0.47916666666666669</v>
      </c>
      <c r="D288" s="22">
        <v>162.19999999999999</v>
      </c>
      <c r="E288">
        <v>62.6</v>
      </c>
      <c r="F288" s="22">
        <f>(E288/((D288/100)*(D288/100)))</f>
        <v>23.794283594411617</v>
      </c>
      <c r="G288" s="13">
        <f t="shared" si="0"/>
        <v>48.148915199999998</v>
      </c>
      <c r="H288" s="22">
        <f t="shared" si="1"/>
        <v>14.4510848</v>
      </c>
      <c r="I288" s="22"/>
      <c r="J288" s="22"/>
      <c r="K288">
        <v>26.5</v>
      </c>
      <c r="M288">
        <v>96</v>
      </c>
      <c r="N288" s="6">
        <f>(((4.68*O288)-(2.09*X288))-80.99)</f>
        <v>127.00399999999998</v>
      </c>
      <c r="O288" s="6">
        <v>54</v>
      </c>
      <c r="P288">
        <v>44.5</v>
      </c>
      <c r="Q288">
        <v>37</v>
      </c>
      <c r="R288">
        <v>8.1999999999999993</v>
      </c>
      <c r="S288">
        <v>6.7</v>
      </c>
      <c r="T288">
        <v>2.8</v>
      </c>
      <c r="U288">
        <v>8.6</v>
      </c>
      <c r="V288">
        <v>6</v>
      </c>
      <c r="W288">
        <v>9.6</v>
      </c>
      <c r="X288">
        <v>21.4</v>
      </c>
      <c r="Y288">
        <v>11.1</v>
      </c>
      <c r="Z288">
        <f t="shared" si="3"/>
        <v>74.399999999999991</v>
      </c>
      <c r="AA288" s="6">
        <f>((0.1548*SUM(S288:T288,W288:Z288))+3.58)</f>
        <v>23.084800000000001</v>
      </c>
      <c r="AB288" s="6">
        <f>Anthropometry[[#This Row],[Upper arm girth - R]]-(PI()*(Anthropometry[[#This Row],[Triceps]]/10))</f>
        <v>23.92389402405637</v>
      </c>
      <c r="AC288" s="6">
        <f>Anthropometry[[#This Row],[Mid-thighs]]-PI()*(Anthropometry[[#This Row],[Thigh]]/10)</f>
        <v>120.28099172131782</v>
      </c>
      <c r="AD288" s="6">
        <f>Anthropometry[[#This Row],[Mid-calf]]-PI()*(Anthropometry[[#This Row],[Calf]]/10)</f>
        <v>33.51283215451533</v>
      </c>
      <c r="AE288" s="6"/>
      <c r="AF288" s="6"/>
    </row>
    <row r="289" spans="1:39" ht="14.45">
      <c r="A289" t="s">
        <v>39</v>
      </c>
      <c r="B289" s="12">
        <v>44284</v>
      </c>
      <c r="C289" s="14">
        <v>0.33333333333333331</v>
      </c>
      <c r="D289">
        <v>180.7</v>
      </c>
      <c r="E289">
        <v>86.5</v>
      </c>
      <c r="G289" s="6">
        <f t="shared" si="0"/>
        <v>80.163866349999992</v>
      </c>
      <c r="H289" s="6">
        <f t="shared" si="1"/>
        <v>6.3361336499999998</v>
      </c>
      <c r="K289">
        <v>32.299999999999997</v>
      </c>
      <c r="M289">
        <v>102.4</v>
      </c>
      <c r="N289">
        <v>62.4</v>
      </c>
      <c r="O289" s="6">
        <f>(((4.68*N289)-(2.09*X289))-80.99)</f>
        <v>195.15799999999996</v>
      </c>
      <c r="P289">
        <v>51.8</v>
      </c>
      <c r="Q289">
        <v>41.2</v>
      </c>
      <c r="R289">
        <v>5.8</v>
      </c>
      <c r="S289">
        <v>7.3</v>
      </c>
      <c r="T289">
        <v>3.2</v>
      </c>
      <c r="U289">
        <v>11.2</v>
      </c>
      <c r="V289">
        <v>6.2</v>
      </c>
      <c r="W289">
        <v>13.7</v>
      </c>
      <c r="X289">
        <v>7.6</v>
      </c>
      <c r="Y289">
        <v>4.5</v>
      </c>
      <c r="Z289" s="6">
        <f t="shared" si="3"/>
        <v>59.500000000000007</v>
      </c>
      <c r="AA289" s="6">
        <f>((0.1051*SUM(R289:S289,V289:Y289))+2.585)</f>
        <v>7.3250099999999998</v>
      </c>
      <c r="AB289" s="6">
        <f>Anthropometry[[#This Row],[Upper arm girth - R]]-(PI()*(Anthropometry[[#This Row],[Triceps]]/10))</f>
        <v>30.477876260917917</v>
      </c>
      <c r="AC289" s="6">
        <f>Anthropometry[[#This Row],[Mid-thighs]]-PI()*(Anthropometry[[#This Row],[Thigh]]/10)</f>
        <v>60.012389583271755</v>
      </c>
      <c r="AD289" s="6">
        <f>Anthropometry[[#This Row],[Mid-calf]]-PI()*(Anthropometry[[#This Row],[Calf]]/10)</f>
        <v>39.786283305884595</v>
      </c>
      <c r="AE289" s="6"/>
      <c r="AF289" s="6"/>
    </row>
    <row r="290" spans="1:39" ht="14.45">
      <c r="A290" t="s">
        <v>50</v>
      </c>
      <c r="B290" s="12">
        <v>44034</v>
      </c>
      <c r="C290" s="14">
        <v>0.5</v>
      </c>
      <c r="D290" s="22">
        <v>163.19999999999999</v>
      </c>
      <c r="E290">
        <v>62.7</v>
      </c>
      <c r="F290" s="22">
        <f>(E290/((D290/100)*(D290/100)))</f>
        <v>23.541126009227224</v>
      </c>
      <c r="G290" s="13">
        <f t="shared" si="0"/>
        <v>47.866709880000009</v>
      </c>
      <c r="H290" s="22">
        <f t="shared" si="1"/>
        <v>14.833290119999997</v>
      </c>
      <c r="I290" s="22"/>
      <c r="J290" s="22"/>
      <c r="K290">
        <v>26.5</v>
      </c>
      <c r="M290">
        <v>95.5</v>
      </c>
      <c r="N290" s="6">
        <f>(((4.68*O290)-(2.09*X290))-80.99)</f>
        <v>128.50799999999998</v>
      </c>
      <c r="O290" s="6">
        <v>54.5</v>
      </c>
      <c r="P290">
        <v>45</v>
      </c>
      <c r="Q290">
        <v>36</v>
      </c>
      <c r="R290">
        <v>8.5</v>
      </c>
      <c r="S290">
        <v>6.8</v>
      </c>
      <c r="T290">
        <v>2.6</v>
      </c>
      <c r="U290">
        <v>9.8000000000000007</v>
      </c>
      <c r="V290">
        <v>5.4</v>
      </c>
      <c r="W290">
        <v>11.8</v>
      </c>
      <c r="X290">
        <v>21.8</v>
      </c>
      <c r="Y290">
        <v>10</v>
      </c>
      <c r="Z290">
        <f t="shared" si="3"/>
        <v>76.7</v>
      </c>
      <c r="AA290" s="6">
        <f>((0.1548*SUM(S290:T290,W290:Z290))+3.58)</f>
        <v>23.657559999999997</v>
      </c>
      <c r="AB290" s="6">
        <f>Anthropometry[[#This Row],[Upper arm girth - R]]-(PI()*(Anthropometry[[#This Row],[Triceps]]/10))</f>
        <v>23.829646244448675</v>
      </c>
      <c r="AC290" s="6">
        <f>Anthropometry[[#This Row],[Mid-thighs]]-PI()*(Anthropometry[[#This Row],[Thigh]]/10)</f>
        <v>121.65932801517422</v>
      </c>
      <c r="AD290" s="6">
        <f>Anthropometry[[#This Row],[Mid-calf]]-PI()*(Anthropometry[[#This Row],[Calf]]/10)</f>
        <v>32.858407346410203</v>
      </c>
      <c r="AE290" s="6"/>
      <c r="AF290" s="6"/>
    </row>
    <row r="291" spans="1:39" ht="14.45">
      <c r="A291" t="s">
        <v>40</v>
      </c>
      <c r="B291" s="12">
        <v>44284</v>
      </c>
      <c r="C291" s="14">
        <v>0.32291666666666669</v>
      </c>
      <c r="D291" s="6">
        <v>183.4</v>
      </c>
      <c r="E291">
        <v>81.7</v>
      </c>
      <c r="G291" s="6">
        <f t="shared" si="0"/>
        <v>76.247840370000006</v>
      </c>
      <c r="H291" s="6">
        <f t="shared" si="1"/>
        <v>5.4521596300000006</v>
      </c>
      <c r="K291">
        <v>32</v>
      </c>
      <c r="M291">
        <v>105</v>
      </c>
      <c r="N291">
        <v>58.2</v>
      </c>
      <c r="O291" s="6"/>
      <c r="P291">
        <v>47.2</v>
      </c>
      <c r="Q291">
        <v>35.200000000000003</v>
      </c>
      <c r="R291">
        <v>5</v>
      </c>
      <c r="S291">
        <v>9</v>
      </c>
      <c r="T291">
        <v>2.4</v>
      </c>
      <c r="U291">
        <v>7.6</v>
      </c>
      <c r="V291">
        <v>5.0999999999999996</v>
      </c>
      <c r="W291">
        <v>12.1</v>
      </c>
      <c r="X291">
        <v>4.5</v>
      </c>
      <c r="Y291">
        <v>3.2</v>
      </c>
      <c r="Z291">
        <f t="shared" si="3"/>
        <v>48.900000000000006</v>
      </c>
      <c r="AA291" s="6">
        <f>((0.1051*SUM(R291:S291,V291:Y291))+2.585)</f>
        <v>6.6733900000000004</v>
      </c>
      <c r="AB291" s="6">
        <f>Anthropometry[[#This Row],[Upper arm girth - R]]-(PI()*(Anthropometry[[#This Row],[Triceps]]/10))</f>
        <v>30.429203673205102</v>
      </c>
      <c r="AC291" s="6">
        <f>Anthropometry[[#This Row],[Mid-thighs]]-PI()*(Anthropometry[[#This Row],[Thigh]]/10)</f>
        <v>56.786283305884595</v>
      </c>
      <c r="AD291" s="6">
        <f>Anthropometry[[#This Row],[Mid-calf]]-PI()*(Anthropometry[[#This Row],[Calf]]/10)</f>
        <v>34.194690350851268</v>
      </c>
      <c r="AE291" s="6"/>
      <c r="AF291" s="6"/>
    </row>
    <row r="292" spans="1:39" ht="14.45">
      <c r="A292" t="s">
        <v>44</v>
      </c>
      <c r="B292" s="12">
        <v>44298</v>
      </c>
      <c r="C292" s="14">
        <v>0.375</v>
      </c>
      <c r="D292" s="6">
        <v>171.3</v>
      </c>
      <c r="E292">
        <v>69.400000000000006</v>
      </c>
      <c r="F292" s="6">
        <f>(E292/((D292/100)*(D292/100)))</f>
        <v>23.650740585113869</v>
      </c>
      <c r="G292" s="6">
        <f t="shared" si="0"/>
        <v>57.751598640000012</v>
      </c>
      <c r="H292" s="6">
        <f t="shared" si="1"/>
        <v>11.648401359999999</v>
      </c>
      <c r="K292">
        <v>30.5</v>
      </c>
      <c r="M292">
        <v>101.2</v>
      </c>
      <c r="N292">
        <v>59</v>
      </c>
      <c r="O292" s="6">
        <f>(((4.68*N292)-(2.09*X292))-80.99)</f>
        <v>149.98599999999999</v>
      </c>
      <c r="P292">
        <v>48</v>
      </c>
      <c r="Q292">
        <v>36</v>
      </c>
      <c r="R292">
        <v>17.8</v>
      </c>
      <c r="S292">
        <v>9.4</v>
      </c>
      <c r="T292">
        <v>5.8</v>
      </c>
      <c r="U292">
        <v>12.2</v>
      </c>
      <c r="V292">
        <v>6.6</v>
      </c>
      <c r="W292">
        <v>12.7</v>
      </c>
      <c r="X292">
        <v>21.6</v>
      </c>
      <c r="Y292">
        <v>17.2</v>
      </c>
      <c r="Z292">
        <f t="shared" si="3"/>
        <v>103.3</v>
      </c>
      <c r="AA292" s="6">
        <f>((0.1548*SUM(R292:S292,V292:Y292))+3.58)</f>
        <v>16.784439999999996</v>
      </c>
      <c r="AB292" s="6">
        <f>Anthropometry[[#This Row],[Upper arm girth - R]]-(PI()*(Anthropometry[[#This Row],[Triceps]]/10))</f>
        <v>24.907965076610168</v>
      </c>
      <c r="AC292" s="6">
        <f>Anthropometry[[#This Row],[Mid-thighs]]-PI()*(Anthropometry[[#This Row],[Thigh]]/10)</f>
        <v>52.214159868246043</v>
      </c>
      <c r="AD292" s="6">
        <f>Anthropometry[[#This Row],[Mid-calf]]-PI()*(Anthropometry[[#This Row],[Calf]]/10)</f>
        <v>30.596460635825558</v>
      </c>
      <c r="AE292" s="6"/>
      <c r="AF292" s="6"/>
    </row>
    <row r="293" spans="1:39" ht="14.45">
      <c r="A293" t="s">
        <v>41</v>
      </c>
      <c r="B293" s="12">
        <v>44298</v>
      </c>
      <c r="C293" s="14">
        <v>0.40625</v>
      </c>
      <c r="D293" s="6">
        <v>177.5</v>
      </c>
      <c r="E293">
        <v>86.9</v>
      </c>
      <c r="G293" s="6">
        <f t="shared" si="0"/>
        <v>81.310887460000018</v>
      </c>
      <c r="H293" s="6">
        <f t="shared" si="1"/>
        <v>5.5891125400000004</v>
      </c>
      <c r="K293">
        <v>33.5</v>
      </c>
      <c r="M293">
        <v>101.5</v>
      </c>
      <c r="N293">
        <v>60.2</v>
      </c>
      <c r="O293" s="6">
        <f>(((4.68*N293)-(2.09*X293))-80.99)</f>
        <v>191.96799999999996</v>
      </c>
      <c r="P293">
        <v>47.2</v>
      </c>
      <c r="Q293">
        <v>37.5</v>
      </c>
      <c r="R293">
        <v>6.2</v>
      </c>
      <c r="S293">
        <v>7.5</v>
      </c>
      <c r="T293">
        <v>3.1</v>
      </c>
      <c r="U293">
        <v>8.8000000000000007</v>
      </c>
      <c r="V293">
        <v>5.4</v>
      </c>
      <c r="W293">
        <v>9.3000000000000007</v>
      </c>
      <c r="X293">
        <v>4.2</v>
      </c>
      <c r="Y293">
        <v>4</v>
      </c>
      <c r="Z293">
        <f t="shared" si="3"/>
        <v>48.5</v>
      </c>
      <c r="AA293" s="6">
        <f>((0.1051*SUM(R293:S293,V293:Y293))+2.585)</f>
        <v>6.4316599999999999</v>
      </c>
      <c r="AB293" s="6">
        <f>Anthropometry[[#This Row],[Upper arm girth - R]]-(PI()*(Anthropometry[[#This Row],[Triceps]]/10))</f>
        <v>31.552212554774329</v>
      </c>
      <c r="AC293" s="6">
        <f>Anthropometry[[#This Row],[Mid-thighs]]-PI()*(Anthropometry[[#This Row],[Thigh]]/10)</f>
        <v>58.880531085492287</v>
      </c>
      <c r="AD293" s="6">
        <f>Anthropometry[[#This Row],[Mid-calf]]-PI()*(Anthropometry[[#This Row],[Calf]]/10)</f>
        <v>36.243362938564083</v>
      </c>
      <c r="AE293" s="6"/>
      <c r="AF293" s="6"/>
    </row>
    <row r="294" spans="1:39" ht="14.45">
      <c r="A294" t="s">
        <v>50</v>
      </c>
      <c r="B294" s="12">
        <v>44076</v>
      </c>
      <c r="C294" s="14">
        <v>0.51041666666666663</v>
      </c>
      <c r="D294" s="22">
        <v>163.19999999999999</v>
      </c>
      <c r="E294">
        <v>63.3</v>
      </c>
      <c r="F294" s="22">
        <f>(E294/((D294/100)*(D294/100)))</f>
        <v>23.766399942329876</v>
      </c>
      <c r="G294" s="13">
        <f t="shared" si="0"/>
        <v>48.118988879999996</v>
      </c>
      <c r="H294" s="22">
        <f t="shared" si="1"/>
        <v>15.181011120000003</v>
      </c>
      <c r="I294" s="22"/>
      <c r="J294" s="22"/>
      <c r="K294">
        <v>26.2</v>
      </c>
      <c r="M294">
        <v>98.2</v>
      </c>
      <c r="N294" s="6">
        <f>(((4.68*O294)-(2.09*X294))-80.99)</f>
        <v>122.87399999999998</v>
      </c>
      <c r="O294" s="6">
        <v>54.1</v>
      </c>
      <c r="P294">
        <v>44.5</v>
      </c>
      <c r="Q294">
        <v>36.299999999999997</v>
      </c>
      <c r="R294">
        <v>8.1999999999999993</v>
      </c>
      <c r="S294">
        <v>6.8</v>
      </c>
      <c r="T294">
        <v>2.4</v>
      </c>
      <c r="U294">
        <v>8.6</v>
      </c>
      <c r="V294">
        <v>5.4</v>
      </c>
      <c r="W294">
        <v>11.8</v>
      </c>
      <c r="X294">
        <v>23.6</v>
      </c>
      <c r="Y294">
        <v>10.199999999999999</v>
      </c>
      <c r="Z294">
        <f t="shared" si="3"/>
        <v>77.000000000000014</v>
      </c>
      <c r="AA294" s="6">
        <f>((0.1548*SUM(S294:T294,W294:Z294))+3.58)</f>
        <v>23.982640000000004</v>
      </c>
      <c r="AB294" s="6">
        <f>Anthropometry[[#This Row],[Upper arm girth - R]]-(PI()*(Anthropometry[[#This Row],[Triceps]]/10))</f>
        <v>23.623894024056369</v>
      </c>
      <c r="AC294" s="6">
        <f>Anthropometry[[#This Row],[Mid-thighs]]-PI()*(Anthropometry[[#This Row],[Thigh]]/10)</f>
        <v>115.45984133752808</v>
      </c>
      <c r="AD294" s="6">
        <f>Anthropometry[[#This Row],[Mid-calf]]-PI()*(Anthropometry[[#This Row],[Calf]]/10)</f>
        <v>33.095575493338409</v>
      </c>
      <c r="AE294" s="6"/>
      <c r="AF294" s="6"/>
    </row>
    <row r="295" spans="1:39" ht="14.45">
      <c r="A295" t="s">
        <v>50</v>
      </c>
      <c r="B295" s="12">
        <v>44699</v>
      </c>
      <c r="C295" s="14">
        <v>0.30208333333333331</v>
      </c>
      <c r="D295" s="22">
        <v>162.9</v>
      </c>
      <c r="E295">
        <v>63.2</v>
      </c>
      <c r="F295" s="22">
        <f>(E295/((D295/100)*(D295/100)))</f>
        <v>23.816333859779828</v>
      </c>
      <c r="G295" s="13">
        <f t="shared" si="0"/>
        <v>50.5670784</v>
      </c>
      <c r="H295" s="22">
        <f t="shared" si="1"/>
        <v>12.6329216</v>
      </c>
      <c r="I295" s="22"/>
      <c r="J295" s="22"/>
      <c r="K295">
        <v>27</v>
      </c>
      <c r="M295">
        <v>97.7</v>
      </c>
      <c r="N295" s="6">
        <f>(((4.68*O295)-(2.09*X295))-80.99)</f>
        <v>135.20499999999998</v>
      </c>
      <c r="O295" s="6">
        <v>54.1</v>
      </c>
      <c r="P295">
        <v>45</v>
      </c>
      <c r="Q295">
        <v>36.799999999999997</v>
      </c>
      <c r="R295">
        <v>7.2</v>
      </c>
      <c r="S295">
        <v>6.2</v>
      </c>
      <c r="T295">
        <v>2.4</v>
      </c>
      <c r="U295">
        <v>7.6</v>
      </c>
      <c r="V295">
        <v>5</v>
      </c>
      <c r="W295">
        <v>7.8</v>
      </c>
      <c r="X295">
        <v>17.7</v>
      </c>
      <c r="Y295">
        <v>9</v>
      </c>
      <c r="Z295">
        <f t="shared" si="3"/>
        <v>62.899999999999991</v>
      </c>
      <c r="AA295" s="6">
        <f>((0.1548*SUM(S295:T295,W295:Z295))+3.58)</f>
        <v>19.988799999999998</v>
      </c>
      <c r="AB295" s="6">
        <f>Anthropometry[[#This Row],[Upper arm girth - R]]-(PI()*(Anthropometry[[#This Row],[Triceps]]/10))</f>
        <v>24.738053289415348</v>
      </c>
      <c r="AC295" s="6">
        <f>Anthropometry[[#This Row],[Mid-thighs]]-PI()*(Anthropometry[[#This Row],[Thigh]]/10)</f>
        <v>129.64438100314604</v>
      </c>
      <c r="AD295" s="6">
        <f>Anthropometry[[#This Row],[Mid-calf]]-PI()*(Anthropometry[[#This Row],[Calf]]/10)</f>
        <v>33.972566611769182</v>
      </c>
      <c r="AE295" s="6"/>
      <c r="AF295" s="6"/>
    </row>
    <row r="296" spans="1:39" ht="14.45">
      <c r="A296" t="s">
        <v>39</v>
      </c>
      <c r="B296" s="12">
        <v>44347</v>
      </c>
      <c r="C296" s="14">
        <v>0.34375</v>
      </c>
      <c r="D296" s="6">
        <v>180.7</v>
      </c>
      <c r="E296">
        <v>86.7</v>
      </c>
      <c r="G296" s="6">
        <f t="shared" ref="G296:G314" si="5">E296/100*(100-AA296)</f>
        <v>80.312767649999998</v>
      </c>
      <c r="H296" s="6">
        <f t="shared" ref="H296:H314" si="6">E296/100*AA296</f>
        <v>6.3872323499999988</v>
      </c>
      <c r="K296">
        <v>33</v>
      </c>
      <c r="M296">
        <v>102.2</v>
      </c>
      <c r="N296">
        <v>61.6</v>
      </c>
      <c r="O296" s="6"/>
      <c r="P296">
        <v>50.5</v>
      </c>
      <c r="Q296">
        <v>40.799999999999997</v>
      </c>
      <c r="R296">
        <v>6.2</v>
      </c>
      <c r="S296">
        <v>7.4</v>
      </c>
      <c r="T296">
        <v>3.2</v>
      </c>
      <c r="U296">
        <v>14.3</v>
      </c>
      <c r="V296">
        <v>6.4</v>
      </c>
      <c r="W296">
        <v>14.4</v>
      </c>
      <c r="X296">
        <v>6.8</v>
      </c>
      <c r="Y296">
        <v>4.3</v>
      </c>
      <c r="Z296" s="6">
        <f t="shared" ref="Z296:Z327" si="7">SUM(R296:Y296)</f>
        <v>62.999999999999993</v>
      </c>
      <c r="AA296" s="6">
        <f>((0.1051*SUM(R296:S296,V296:Y296))+2.585)</f>
        <v>7.367049999999999</v>
      </c>
      <c r="AB296" s="6">
        <f>Anthropometry[[#This Row],[Upper arm girth - R]]-(PI()*(Anthropometry[[#This Row],[Triceps]]/10))</f>
        <v>31.052212554774329</v>
      </c>
      <c r="AC296" s="6">
        <f>Anthropometry[[#This Row],[Mid-thighs]]-PI()*(Anthropometry[[#This Row],[Thigh]]/10)</f>
        <v>59.46371699555894</v>
      </c>
      <c r="AD296" s="6">
        <f>Anthropometry[[#This Row],[Mid-calf]]-PI()*(Anthropometry[[#This Row],[Calf]]/10)</f>
        <v>39.449115158956388</v>
      </c>
      <c r="AE296" s="6"/>
      <c r="AF296" s="6"/>
    </row>
    <row r="297" spans="1:39" ht="14.45">
      <c r="A297" t="s">
        <v>50</v>
      </c>
      <c r="B297" s="12">
        <v>44865</v>
      </c>
      <c r="C297" s="14">
        <v>0.32291666666666669</v>
      </c>
      <c r="D297">
        <v>163</v>
      </c>
      <c r="E297">
        <v>65.099999999999994</v>
      </c>
      <c r="F297" s="22">
        <f>(E297/((D297/100)*(D297/100)))</f>
        <v>24.502239451992924</v>
      </c>
      <c r="G297" s="13">
        <f t="shared" si="5"/>
        <v>51.129930599999994</v>
      </c>
      <c r="H297" s="22">
        <f t="shared" si="6"/>
        <v>13.9700694</v>
      </c>
      <c r="K297">
        <v>26.4</v>
      </c>
      <c r="M297">
        <v>100.9</v>
      </c>
      <c r="N297" s="6">
        <f>(((4.68*O297)-(2.09*X297))-80.99)</f>
        <v>157.91399999999999</v>
      </c>
      <c r="O297">
        <v>57.3</v>
      </c>
      <c r="P297">
        <v>46.5</v>
      </c>
      <c r="Q297">
        <v>37.6</v>
      </c>
      <c r="R297">
        <v>6.2</v>
      </c>
      <c r="S297">
        <v>7</v>
      </c>
      <c r="T297">
        <v>3.8</v>
      </c>
      <c r="U297">
        <v>10</v>
      </c>
      <c r="V297">
        <v>5.3</v>
      </c>
      <c r="W297">
        <v>12.2</v>
      </c>
      <c r="X297" s="24">
        <v>14</v>
      </c>
      <c r="Y297">
        <v>10</v>
      </c>
      <c r="Z297">
        <f t="shared" si="7"/>
        <v>68.5</v>
      </c>
      <c r="AA297" s="6">
        <f>((0.1548*SUM(S297:T297,W297:Z297))+3.58)</f>
        <v>21.459400000000002</v>
      </c>
      <c r="AB297" s="6">
        <f>Anthropometry[[#This Row],[Upper arm girth - R]]-(PI()*(Anthropometry[[#This Row],[Triceps]]/10))</f>
        <v>24.452212554774327</v>
      </c>
      <c r="AC297" s="6">
        <f>Anthropometry[[#This Row],[Mid-thighs]]-PI()*(Anthropometry[[#This Row],[Thigh]]/10)</f>
        <v>153.51577028497428</v>
      </c>
      <c r="AD297" s="6">
        <f>Anthropometry[[#This Row],[Mid-calf]]-PI()*(Anthropometry[[#This Row],[Calf]]/10)</f>
        <v>34.458407346410212</v>
      </c>
      <c r="AE297" s="6"/>
      <c r="AF297" s="6"/>
    </row>
    <row r="298" spans="1:39" ht="14.45">
      <c r="A298" t="s">
        <v>40</v>
      </c>
      <c r="B298" s="12">
        <v>44347</v>
      </c>
      <c r="C298" s="14">
        <v>0.33333333333333331</v>
      </c>
      <c r="D298" s="6">
        <v>183.4</v>
      </c>
      <c r="E298">
        <v>82.5</v>
      </c>
      <c r="G298" s="6">
        <f t="shared" si="5"/>
        <v>77.323941749999989</v>
      </c>
      <c r="H298" s="6">
        <f t="shared" si="6"/>
        <v>5.1760582500000005</v>
      </c>
      <c r="K298">
        <v>31.5</v>
      </c>
      <c r="M298">
        <v>103</v>
      </c>
      <c r="N298">
        <v>57.8</v>
      </c>
      <c r="O298" s="6">
        <f>(((4.68*N298)-(2.09*X298))-80.99)</f>
        <v>180.10899999999998</v>
      </c>
      <c r="P298">
        <v>47.1</v>
      </c>
      <c r="Q298">
        <v>35.200000000000003</v>
      </c>
      <c r="R298">
        <v>4.8</v>
      </c>
      <c r="S298">
        <v>8.4</v>
      </c>
      <c r="T298">
        <v>2.2999999999999998</v>
      </c>
      <c r="U298">
        <v>6.6</v>
      </c>
      <c r="V298">
        <v>4.4000000000000004</v>
      </c>
      <c r="W298">
        <v>9.8000000000000007</v>
      </c>
      <c r="X298">
        <v>4.5</v>
      </c>
      <c r="Y298">
        <v>3.2</v>
      </c>
      <c r="Z298">
        <f t="shared" si="7"/>
        <v>44</v>
      </c>
      <c r="AA298" s="6">
        <f>((0.1051*SUM(R298:S298,V298:Y298))+2.585)</f>
        <v>6.2740100000000005</v>
      </c>
      <c r="AB298" s="6">
        <f>Anthropometry[[#This Row],[Upper arm girth - R]]-(PI()*(Anthropometry[[#This Row],[Triceps]]/10))</f>
        <v>29.992035526276901</v>
      </c>
      <c r="AC298" s="6">
        <f>Anthropometry[[#This Row],[Mid-thighs]]-PI()*(Anthropometry[[#This Row],[Thigh]]/10)</f>
        <v>56.386283305884589</v>
      </c>
      <c r="AD298" s="6">
        <f>Anthropometry[[#This Row],[Mid-calf]]-PI()*(Anthropometry[[#This Row],[Calf]]/10)</f>
        <v>34.194690350851268</v>
      </c>
      <c r="AE298" s="6"/>
      <c r="AF298" s="6"/>
    </row>
    <row r="299" spans="1:39" ht="14.45">
      <c r="A299" t="s">
        <v>48</v>
      </c>
      <c r="B299" s="12">
        <v>44348</v>
      </c>
      <c r="C299" s="14">
        <v>0.36458333333333331</v>
      </c>
      <c r="D299" s="6">
        <v>185.7</v>
      </c>
      <c r="E299">
        <v>93.9</v>
      </c>
      <c r="G299" s="6">
        <f t="shared" si="5"/>
        <v>85.107250950000008</v>
      </c>
      <c r="H299" s="6">
        <f t="shared" si="6"/>
        <v>8.7927490499999994</v>
      </c>
      <c r="K299">
        <v>34.5</v>
      </c>
      <c r="M299">
        <v>108.2</v>
      </c>
      <c r="N299">
        <v>61</v>
      </c>
      <c r="O299" s="6">
        <f>(((4.68*N299)-(2.09*X299))-80.99)</f>
        <v>184.63499999999993</v>
      </c>
      <c r="P299">
        <v>50</v>
      </c>
      <c r="Q299">
        <v>40.6</v>
      </c>
      <c r="R299">
        <v>12.1</v>
      </c>
      <c r="S299" s="6">
        <v>10.3</v>
      </c>
      <c r="T299">
        <v>3</v>
      </c>
      <c r="U299">
        <v>14.2</v>
      </c>
      <c r="V299">
        <v>9.1999999999999993</v>
      </c>
      <c r="W299">
        <v>16</v>
      </c>
      <c r="X299">
        <v>9.5</v>
      </c>
      <c r="Y299">
        <v>7.4</v>
      </c>
      <c r="Z299">
        <f t="shared" si="7"/>
        <v>81.7</v>
      </c>
      <c r="AA299" s="6">
        <f>((0.1051*SUM(R299:S299,V299:Y299))+2.585)</f>
        <v>9.3639499999999991</v>
      </c>
      <c r="AB299" s="6">
        <f>Anthropometry[[#This Row],[Upper arm girth - R]]-(PI()*(Anthropometry[[#This Row],[Triceps]]/10))</f>
        <v>30.698672889156349</v>
      </c>
      <c r="AC299" s="6">
        <f>Anthropometry[[#This Row],[Mid-thighs]]-PI()*(Anthropometry[[#This Row],[Thigh]]/10)</f>
        <v>58.015486979089694</v>
      </c>
      <c r="AD299" s="6">
        <f>Anthropometry[[#This Row],[Mid-calf]]-PI()*(Anthropometry[[#This Row],[Calf]]/10)</f>
        <v>38.275221436343557</v>
      </c>
      <c r="AE299" s="6"/>
      <c r="AF299" s="6"/>
      <c r="AM299">
        <f>Anthropometry[[#This Row],[DEXA Pelvis (kg)]] + Anthropometry[[#This Row],[ DEXA LLM (kg)]]</f>
        <v>0</v>
      </c>
    </row>
    <row r="300" spans="1:39" ht="14.45">
      <c r="A300" t="s">
        <v>50</v>
      </c>
      <c r="B300" s="12">
        <v>44880</v>
      </c>
      <c r="C300" s="14">
        <v>0.32291666666666669</v>
      </c>
      <c r="D300" s="6">
        <v>163</v>
      </c>
      <c r="E300">
        <v>63.9</v>
      </c>
      <c r="F300" s="22">
        <f>(E300/((D300/100)*(D300/100)))</f>
        <v>24.050585268546051</v>
      </c>
      <c r="G300" s="13">
        <f t="shared" si="5"/>
        <v>49.890691799999999</v>
      </c>
      <c r="H300" s="22">
        <f t="shared" si="6"/>
        <v>14.0093082</v>
      </c>
      <c r="K300">
        <v>26.8</v>
      </c>
      <c r="M300">
        <v>98.7</v>
      </c>
      <c r="N300" s="6">
        <f>(((4.68*O300)-(2.09*X300))-80.99)</f>
        <v>135.42799999999994</v>
      </c>
      <c r="O300">
        <v>55.8</v>
      </c>
      <c r="P300">
        <v>46.2</v>
      </c>
      <c r="Q300">
        <v>36.6</v>
      </c>
      <c r="R300">
        <v>6</v>
      </c>
      <c r="S300">
        <v>6.6</v>
      </c>
      <c r="T300">
        <v>2.6</v>
      </c>
      <c r="U300">
        <v>9.1999999999999993</v>
      </c>
      <c r="V300">
        <v>5.3</v>
      </c>
      <c r="W300">
        <v>10</v>
      </c>
      <c r="X300">
        <v>21.4</v>
      </c>
      <c r="Y300">
        <v>8.4</v>
      </c>
      <c r="Z300">
        <f t="shared" si="7"/>
        <v>69.5</v>
      </c>
      <c r="AA300" s="6">
        <f>((0.1548*SUM(S300:T300,W300:Z300))+3.58)</f>
        <v>21.9238</v>
      </c>
      <c r="AB300" s="6">
        <f>Anthropometry[[#This Row],[Upper arm girth - R]]-(PI()*(Anthropometry[[#This Row],[Triceps]]/10))</f>
        <v>24.915044407846125</v>
      </c>
      <c r="AC300" s="6">
        <f>Anthropometry[[#This Row],[Mid-thighs]]-PI()*(Anthropometry[[#This Row],[Thigh]]/10)</f>
        <v>128.70499172131778</v>
      </c>
      <c r="AD300" s="6">
        <f>Anthropometry[[#This Row],[Mid-calf]]-PI()*(Anthropometry[[#This Row],[Calf]]/10)</f>
        <v>33.961062170984576</v>
      </c>
      <c r="AE300" s="6"/>
      <c r="AF300" s="6"/>
      <c r="AG300">
        <v>76</v>
      </c>
      <c r="AH300">
        <v>19.2</v>
      </c>
      <c r="AI300">
        <v>48.6</v>
      </c>
      <c r="AJ300">
        <v>12.2</v>
      </c>
      <c r="AK300">
        <v>19.2</v>
      </c>
      <c r="AL300">
        <v>8.1</v>
      </c>
      <c r="AM300">
        <v>27.299999999999997</v>
      </c>
    </row>
    <row r="301" spans="1:39" ht="14.45">
      <c r="A301" t="s">
        <v>45</v>
      </c>
      <c r="B301" s="21">
        <v>44545</v>
      </c>
      <c r="C301" s="14">
        <v>0.38541666666666669</v>
      </c>
      <c r="D301">
        <v>175.7</v>
      </c>
      <c r="E301">
        <v>82.5</v>
      </c>
      <c r="G301" s="6">
        <f t="shared" si="5"/>
        <v>76.335476249999999</v>
      </c>
      <c r="H301" s="6">
        <f t="shared" si="6"/>
        <v>6.1645237499999999</v>
      </c>
      <c r="K301">
        <v>31.6</v>
      </c>
      <c r="M301">
        <v>104.3</v>
      </c>
      <c r="N301">
        <v>61</v>
      </c>
      <c r="O301" s="6">
        <f>(((4.68*N301)-(2.09*X301))-80.99)</f>
        <v>183.58999999999997</v>
      </c>
      <c r="P301">
        <v>48.5</v>
      </c>
      <c r="Q301">
        <v>39.5</v>
      </c>
      <c r="R301">
        <v>5.8</v>
      </c>
      <c r="S301">
        <v>9.1999999999999993</v>
      </c>
      <c r="T301">
        <v>3</v>
      </c>
      <c r="U301">
        <v>9.3000000000000007</v>
      </c>
      <c r="V301">
        <v>5.7</v>
      </c>
      <c r="W301">
        <v>12.6</v>
      </c>
      <c r="X301">
        <v>10</v>
      </c>
      <c r="Y301">
        <v>3.2</v>
      </c>
      <c r="Z301">
        <f t="shared" si="7"/>
        <v>58.800000000000004</v>
      </c>
      <c r="AA301" s="6">
        <f>((0.1051*SUM(R301:S301,V301:Y301))+2.585)</f>
        <v>7.4721500000000001</v>
      </c>
      <c r="AB301" s="6">
        <f>Anthropometry[[#This Row],[Upper arm girth - R]]-(PI()*(Anthropometry[[#This Row],[Triceps]]/10))</f>
        <v>29.777876260917921</v>
      </c>
      <c r="AC301" s="6">
        <f>Anthropometry[[#This Row],[Mid-thighs]]-PI()*(Anthropometry[[#This Row],[Thigh]]/10)</f>
        <v>57.858407346410203</v>
      </c>
      <c r="AD301" s="6">
        <f>Anthropometry[[#This Row],[Mid-calf]]-PI()*(Anthropometry[[#This Row],[Calf]]/10)</f>
        <v>38.494690350851265</v>
      </c>
      <c r="AE301" s="6"/>
      <c r="AF301" s="6"/>
    </row>
    <row r="302" spans="1:39" ht="14.45">
      <c r="A302" t="s">
        <v>48</v>
      </c>
      <c r="B302" s="21">
        <v>44545</v>
      </c>
      <c r="C302" s="14">
        <v>0.41666666666666669</v>
      </c>
      <c r="D302">
        <v>185</v>
      </c>
      <c r="E302">
        <v>93.1</v>
      </c>
      <c r="G302" s="6">
        <f t="shared" si="5"/>
        <v>84.450656219999999</v>
      </c>
      <c r="H302" s="6">
        <f t="shared" si="6"/>
        <v>8.6493437800000006</v>
      </c>
      <c r="K302">
        <v>35</v>
      </c>
      <c r="M302">
        <v>108</v>
      </c>
      <c r="N302">
        <v>60.7</v>
      </c>
      <c r="O302" s="6">
        <f>(((4.68*N302)-(2.09*X302))-80.99)</f>
        <v>184.90300000000002</v>
      </c>
      <c r="P302">
        <v>49.5</v>
      </c>
      <c r="Q302">
        <v>41.2</v>
      </c>
      <c r="R302">
        <v>12</v>
      </c>
      <c r="S302">
        <v>10</v>
      </c>
      <c r="T302">
        <v>3</v>
      </c>
      <c r="U302">
        <v>14.2</v>
      </c>
      <c r="V302">
        <v>9.6</v>
      </c>
      <c r="W302">
        <v>15.4</v>
      </c>
      <c r="X302">
        <v>8.6999999999999993</v>
      </c>
      <c r="Y302">
        <v>8.1</v>
      </c>
      <c r="Z302">
        <f t="shared" si="7"/>
        <v>81</v>
      </c>
      <c r="AA302" s="6">
        <f>((0.1051*SUM(R302:S302,V302:Y302))+2.585)</f>
        <v>9.2903800000000007</v>
      </c>
      <c r="AB302" s="6">
        <f>Anthropometry[[#This Row],[Upper arm girth - R]]-(PI()*(Anthropometry[[#This Row],[Triceps]]/10))</f>
        <v>31.230088815692248</v>
      </c>
      <c r="AC302" s="6">
        <f>Anthropometry[[#This Row],[Mid-thighs]]-PI()*(Anthropometry[[#This Row],[Thigh]]/10)</f>
        <v>57.966814391376886</v>
      </c>
      <c r="AD302" s="6">
        <f>Anthropometry[[#This Row],[Mid-calf]]-PI()*(Anthropometry[[#This Row],[Calf]]/10)</f>
        <v>38.655309950592269</v>
      </c>
      <c r="AE302" s="6"/>
      <c r="AF302" s="6"/>
      <c r="AM302">
        <f>Anthropometry[[#This Row],[DEXA Pelvis (kg)]] + Anthropometry[[#This Row],[ DEXA LLM (kg)]]</f>
        <v>0</v>
      </c>
    </row>
    <row r="303" spans="1:39" ht="14.45">
      <c r="A303" t="s">
        <v>52</v>
      </c>
      <c r="B303" s="21">
        <v>44545</v>
      </c>
      <c r="C303" s="14">
        <v>0.38541666666666669</v>
      </c>
      <c r="D303">
        <v>174.5</v>
      </c>
      <c r="E303">
        <v>90.1</v>
      </c>
      <c r="G303" s="6">
        <f t="shared" si="5"/>
        <v>81.568385949999993</v>
      </c>
      <c r="H303" s="6">
        <f t="shared" si="6"/>
        <v>8.5316140499999982</v>
      </c>
      <c r="K303">
        <v>37</v>
      </c>
      <c r="M303">
        <v>105.8</v>
      </c>
      <c r="N303">
        <v>66.099999999999994</v>
      </c>
      <c r="O303" s="6">
        <f>(((4.68*N303)-(2.09*X303))-80.99)</f>
        <v>203.90499999999997</v>
      </c>
      <c r="P303">
        <v>53.9</v>
      </c>
      <c r="Q303">
        <v>41.5</v>
      </c>
      <c r="R303">
        <v>12.2</v>
      </c>
      <c r="S303">
        <v>9</v>
      </c>
      <c r="T303">
        <v>3.4</v>
      </c>
      <c r="U303">
        <v>11.4</v>
      </c>
      <c r="V303">
        <v>8.8000000000000007</v>
      </c>
      <c r="W303">
        <v>16</v>
      </c>
      <c r="X303">
        <v>11.7</v>
      </c>
      <c r="Y303">
        <v>7.8</v>
      </c>
      <c r="Z303">
        <f t="shared" si="7"/>
        <v>80.3</v>
      </c>
      <c r="AA303" s="6">
        <f>((0.1051*SUM(R303:S303,V303:Y303))+2.585)</f>
        <v>9.4690499999999993</v>
      </c>
      <c r="AB303" s="6">
        <f>Anthropometry[[#This Row],[Upper arm girth - R]]-(PI()*(Anthropometry[[#This Row],[Triceps]]/10))</f>
        <v>33.167256962620449</v>
      </c>
      <c r="AC303" s="6">
        <f>Anthropometry[[#This Row],[Mid-thighs]]-PI()*(Anthropometry[[#This Row],[Thigh]]/10)</f>
        <v>62.424336595299934</v>
      </c>
      <c r="AD303" s="6">
        <f>Anthropometry[[#This Row],[Mid-calf]]-PI()*(Anthropometry[[#This Row],[Calf]]/10)</f>
        <v>39.049557730199965</v>
      </c>
      <c r="AE303" s="6"/>
      <c r="AF303" s="6"/>
    </row>
    <row r="304" spans="1:39" ht="14.45">
      <c r="A304" t="s">
        <v>50</v>
      </c>
      <c r="B304" s="12">
        <v>45063</v>
      </c>
      <c r="C304" s="14">
        <v>0.32291666666666669</v>
      </c>
      <c r="D304" s="6">
        <v>163</v>
      </c>
      <c r="E304">
        <v>64.099999999999994</v>
      </c>
      <c r="F304" s="22">
        <f>(E304/((D304/100)*(D304/100)))</f>
        <v>24.125860965787194</v>
      </c>
      <c r="G304" s="13">
        <f t="shared" si="5"/>
        <v>49.53086484</v>
      </c>
      <c r="H304" s="22">
        <f t="shared" si="6"/>
        <v>14.569135159999995</v>
      </c>
      <c r="K304">
        <v>26.6</v>
      </c>
      <c r="L304" s="36">
        <v>86.1</v>
      </c>
      <c r="M304">
        <v>96.4</v>
      </c>
      <c r="N304" s="6">
        <f>(((4.68*O304)-(2.09*X304))-80.99)</f>
        <v>128.75799999999998</v>
      </c>
      <c r="O304" s="6">
        <v>55</v>
      </c>
      <c r="P304">
        <v>45.1</v>
      </c>
      <c r="Q304">
        <v>36.6</v>
      </c>
      <c r="R304">
        <v>6.5</v>
      </c>
      <c r="S304">
        <v>6.8</v>
      </c>
      <c r="T304">
        <v>3.2</v>
      </c>
      <c r="U304">
        <v>8.9</v>
      </c>
      <c r="V304">
        <v>5.9</v>
      </c>
      <c r="W304">
        <v>10</v>
      </c>
      <c r="X304">
        <v>22.8</v>
      </c>
      <c r="Y304">
        <v>8.4</v>
      </c>
      <c r="Z304">
        <f t="shared" si="7"/>
        <v>72.5</v>
      </c>
      <c r="AA304" s="6">
        <f>((0.1548*SUM(S304:T304,W304:Z304))+3.58)</f>
        <v>22.728759999999994</v>
      </c>
      <c r="AB304" s="6">
        <f>Anthropometry[[#This Row],[Upper arm girth - R]]-(PI()*(Anthropometry[[#This Row],[Triceps]]/10))</f>
        <v>24.557964775166635</v>
      </c>
      <c r="AC304" s="6">
        <f>Anthropometry[[#This Row],[Mid-thighs]]-PI()*(Anthropometry[[#This Row],[Thigh]]/10)</f>
        <v>121.59516874981526</v>
      </c>
      <c r="AD304" s="6">
        <f>Anthropometry[[#This Row],[Mid-calf]]-PI()*(Anthropometry[[#This Row],[Calf]]/10)</f>
        <v>33.961062170984576</v>
      </c>
      <c r="AE304" s="6"/>
      <c r="AF304" s="6"/>
      <c r="AG304">
        <v>77.2</v>
      </c>
      <c r="AH304">
        <v>18.100000000000001</v>
      </c>
      <c r="AI304">
        <v>49.5</v>
      </c>
      <c r="AJ304">
        <v>11.6</v>
      </c>
      <c r="AK304">
        <v>19.5</v>
      </c>
      <c r="AL304">
        <v>8.6</v>
      </c>
      <c r="AM304">
        <v>28.1</v>
      </c>
    </row>
    <row r="305" spans="1:39" ht="14.45">
      <c r="A305" t="s">
        <v>50</v>
      </c>
      <c r="B305" s="12">
        <v>45218</v>
      </c>
      <c r="C305" s="14">
        <v>0.3125</v>
      </c>
      <c r="D305" s="6">
        <v>163</v>
      </c>
      <c r="E305">
        <v>65.599999999999994</v>
      </c>
      <c r="F305" s="22">
        <f>(E305/((D305/100)*(D305/100)))</f>
        <v>24.69042869509579</v>
      </c>
      <c r="G305" s="13">
        <f t="shared" si="5"/>
        <v>49.197166079999995</v>
      </c>
      <c r="H305" s="22">
        <f t="shared" si="6"/>
        <v>16.402833919999992</v>
      </c>
      <c r="K305">
        <v>27.8</v>
      </c>
      <c r="L305">
        <v>68</v>
      </c>
      <c r="M305">
        <v>100</v>
      </c>
      <c r="N305" s="6">
        <f>(((4.68*O305)-(2.09*X305))-80.99)</f>
        <v>138.38600000000002</v>
      </c>
      <c r="O305" s="6">
        <v>56.7</v>
      </c>
      <c r="Q305">
        <v>37.5</v>
      </c>
      <c r="R305">
        <v>8.3000000000000007</v>
      </c>
      <c r="S305">
        <v>7.3</v>
      </c>
      <c r="T305">
        <v>3.3</v>
      </c>
      <c r="U305">
        <v>11.3</v>
      </c>
      <c r="V305">
        <v>6.6</v>
      </c>
      <c r="W305">
        <v>12.7</v>
      </c>
      <c r="X305">
        <v>22</v>
      </c>
      <c r="Y305">
        <v>10.8</v>
      </c>
      <c r="Z305">
        <f t="shared" si="7"/>
        <v>82.3</v>
      </c>
      <c r="AA305" s="6">
        <f>((0.1548*SUM(S305:T305,W305:Z305))+3.58)</f>
        <v>25.004319999999993</v>
      </c>
      <c r="AB305" s="6">
        <f>Anthropometry[[#This Row],[Upper arm girth - R]]-(PI()*(Anthropometry[[#This Row],[Triceps]]/10))</f>
        <v>25.192478097520471</v>
      </c>
      <c r="AC305" s="6">
        <f>Anthropometry[[#This Row],[Mid-thighs]]-PI()*(Anthropometry[[#This Row],[Thigh]]/10)</f>
        <v>131.47449616210247</v>
      </c>
      <c r="AD305" s="6">
        <f>Anthropometry[[#This Row],[Mid-calf]]-PI()*(Anthropometry[[#This Row],[Calf]]/10)</f>
        <v>34.107079934123021</v>
      </c>
      <c r="AE305" s="6">
        <v>16.399999999999999</v>
      </c>
      <c r="AF305" s="6">
        <v>23.6</v>
      </c>
    </row>
    <row r="306" spans="1:39" ht="14.45">
      <c r="A306" t="s">
        <v>40</v>
      </c>
      <c r="B306" s="21">
        <v>44546</v>
      </c>
      <c r="C306" s="14">
        <v>0.375</v>
      </c>
      <c r="D306" s="6">
        <v>183.7</v>
      </c>
      <c r="E306">
        <v>83.6</v>
      </c>
      <c r="G306" s="6">
        <f t="shared" si="5"/>
        <v>78.144054999999994</v>
      </c>
      <c r="H306" s="6">
        <f t="shared" si="6"/>
        <v>5.4559449999999989</v>
      </c>
      <c r="K306">
        <v>31.1</v>
      </c>
      <c r="M306">
        <v>101.5</v>
      </c>
      <c r="N306">
        <v>58.5</v>
      </c>
      <c r="O306" s="6">
        <f>(((4.68*N306)-(2.09*X306))-80.99)</f>
        <v>182.54899999999998</v>
      </c>
      <c r="P306">
        <v>46.5</v>
      </c>
      <c r="Q306">
        <v>35.200000000000003</v>
      </c>
      <c r="R306">
        <v>5</v>
      </c>
      <c r="S306">
        <v>9</v>
      </c>
      <c r="T306">
        <v>2.2999999999999998</v>
      </c>
      <c r="U306">
        <v>7.8</v>
      </c>
      <c r="V306">
        <v>4.2</v>
      </c>
      <c r="W306">
        <v>11.1</v>
      </c>
      <c r="X306">
        <v>4.9000000000000004</v>
      </c>
      <c r="Y306">
        <v>3.3</v>
      </c>
      <c r="Z306">
        <f t="shared" si="7"/>
        <v>47.599999999999994</v>
      </c>
      <c r="AA306" s="6">
        <f>((0.1051*SUM(R306:S306,V306:Y306))+2.585)</f>
        <v>6.5262499999999992</v>
      </c>
      <c r="AB306" s="6">
        <f>Anthropometry[[#This Row],[Upper arm girth - R]]-(PI()*(Anthropometry[[#This Row],[Triceps]]/10))</f>
        <v>29.529203673205103</v>
      </c>
      <c r="AC306" s="6">
        <f>Anthropometry[[#This Row],[Mid-thighs]]-PI()*(Anthropometry[[#This Row],[Thigh]]/10)</f>
        <v>56.960619599741001</v>
      </c>
      <c r="AD306" s="6">
        <f>Anthropometry[[#This Row],[Mid-calf]]-PI()*(Anthropometry[[#This Row],[Calf]]/10)</f>
        <v>34.163274424315368</v>
      </c>
      <c r="AE306" s="6"/>
      <c r="AF306" s="6"/>
    </row>
    <row r="307" spans="1:39" ht="14.45">
      <c r="A307" t="s">
        <v>48</v>
      </c>
      <c r="B307" s="12">
        <v>44572</v>
      </c>
      <c r="C307" s="14">
        <v>0.32291666666666669</v>
      </c>
      <c r="D307" s="6">
        <v>185.7</v>
      </c>
      <c r="E307">
        <v>90.4</v>
      </c>
      <c r="G307" s="6">
        <f t="shared" si="5"/>
        <v>83.312640000000002</v>
      </c>
      <c r="H307" s="6">
        <f t="shared" si="6"/>
        <v>7.0873600000000003</v>
      </c>
      <c r="K307">
        <v>34.799999999999997</v>
      </c>
      <c r="M307">
        <v>105.5</v>
      </c>
      <c r="N307">
        <v>59.9</v>
      </c>
      <c r="O307" s="6">
        <f>(((4.68*N307)-(2.09*X307))-80.99)</f>
        <v>182.20400000000001</v>
      </c>
      <c r="P307">
        <v>49.4</v>
      </c>
      <c r="Q307">
        <v>40.700000000000003</v>
      </c>
      <c r="R307">
        <v>7.4</v>
      </c>
      <c r="S307">
        <v>10.199999999999999</v>
      </c>
      <c r="T307">
        <v>3.6</v>
      </c>
      <c r="U307">
        <v>11.8</v>
      </c>
      <c r="V307">
        <v>6</v>
      </c>
      <c r="W307">
        <v>12.4</v>
      </c>
      <c r="X307">
        <v>8.1999999999999993</v>
      </c>
      <c r="Y307">
        <v>5.8</v>
      </c>
      <c r="Z307">
        <f t="shared" si="7"/>
        <v>65.399999999999991</v>
      </c>
      <c r="AA307" s="6">
        <f>((0.1051*SUM(R307:S307,V307:Y307))+2.585)</f>
        <v>7.84</v>
      </c>
      <c r="AB307" s="6">
        <f>Anthropometry[[#This Row],[Upper arm girth - R]]-(PI()*(Anthropometry[[#This Row],[Triceps]]/10))</f>
        <v>32.475221436343553</v>
      </c>
      <c r="AC307" s="6">
        <f>Anthropometry[[#This Row],[Mid-thighs]]-PI()*(Anthropometry[[#This Row],[Thigh]]/10)</f>
        <v>57.323894024056372</v>
      </c>
      <c r="AD307" s="6">
        <f>Anthropometry[[#This Row],[Mid-calf]]-PI()*(Anthropometry[[#This Row],[Calf]]/10)</f>
        <v>38.877876260917922</v>
      </c>
      <c r="AE307" s="6"/>
      <c r="AF307" s="6"/>
      <c r="AM307">
        <f>Anthropometry[[#This Row],[DEXA Pelvis (kg)]] + Anthropometry[[#This Row],[ DEXA LLM (kg)]]</f>
        <v>0</v>
      </c>
    </row>
    <row r="308" spans="1:39" ht="14.45">
      <c r="A308" t="s">
        <v>48</v>
      </c>
      <c r="B308" s="12">
        <v>44620</v>
      </c>
      <c r="C308" s="14">
        <v>0.3125</v>
      </c>
      <c r="D308" s="6">
        <v>185</v>
      </c>
      <c r="E308">
        <v>92.8</v>
      </c>
      <c r="G308" s="6">
        <f t="shared" si="5"/>
        <v>84.441865919999998</v>
      </c>
      <c r="H308" s="6">
        <f t="shared" si="6"/>
        <v>8.3581340799999975</v>
      </c>
      <c r="K308">
        <v>34</v>
      </c>
      <c r="M308">
        <v>108</v>
      </c>
      <c r="N308">
        <v>60</v>
      </c>
      <c r="O308" s="6">
        <f>(((4.68*N308)-(2.09*X308))-80.99)</f>
        <v>181.41799999999995</v>
      </c>
      <c r="P308">
        <v>49</v>
      </c>
      <c r="Q308">
        <v>41</v>
      </c>
      <c r="R308">
        <v>11.2</v>
      </c>
      <c r="S308">
        <v>10</v>
      </c>
      <c r="T308">
        <v>2.8</v>
      </c>
      <c r="U308">
        <v>12.5</v>
      </c>
      <c r="V308">
        <v>8.4</v>
      </c>
      <c r="W308">
        <v>15.2</v>
      </c>
      <c r="X308">
        <v>8.8000000000000007</v>
      </c>
      <c r="Y308">
        <v>7.5</v>
      </c>
      <c r="Z308">
        <f t="shared" si="7"/>
        <v>76.399999999999991</v>
      </c>
      <c r="AA308" s="6">
        <f>((0.1051*SUM(R308:S308,V308:Y308))+2.585)</f>
        <v>9.0066099999999985</v>
      </c>
      <c r="AB308" s="6">
        <f>Anthropometry[[#This Row],[Upper arm girth - R]]-(PI()*(Anthropometry[[#This Row],[Triceps]]/10))</f>
        <v>30.48141622797943</v>
      </c>
      <c r="AC308" s="6">
        <f>Anthropometry[[#This Row],[Mid-thighs]]-PI()*(Anthropometry[[#This Row],[Thigh]]/10)</f>
        <v>57.235398464840983</v>
      </c>
      <c r="AD308" s="6">
        <f>Anthropometry[[#This Row],[Mid-calf]]-PI()*(Anthropometry[[#This Row],[Calf]]/10)</f>
        <v>38.643805509807656</v>
      </c>
      <c r="AE308" s="6"/>
      <c r="AF308" s="6"/>
      <c r="AM308">
        <f>Anthropometry[[#This Row],[DEXA Pelvis (kg)]] + Anthropometry[[#This Row],[ DEXA LLM (kg)]]</f>
        <v>0</v>
      </c>
    </row>
    <row r="309" spans="1:39" ht="14.45">
      <c r="A309" t="s">
        <v>51</v>
      </c>
      <c r="B309" s="12">
        <v>44620</v>
      </c>
      <c r="C309" s="14">
        <v>0.32291666666666669</v>
      </c>
      <c r="D309">
        <v>170.6</v>
      </c>
      <c r="E309">
        <v>70.900000000000006</v>
      </c>
      <c r="F309" s="6">
        <f>(E309/((D309/100)*(D309/100)))</f>
        <v>24.360611262367566</v>
      </c>
      <c r="G309" s="6">
        <f t="shared" si="5"/>
        <v>60.58027812000001</v>
      </c>
      <c r="H309" s="6">
        <f t="shared" si="6"/>
        <v>10.319721880000001</v>
      </c>
      <c r="K309">
        <v>31</v>
      </c>
      <c r="M309">
        <v>101</v>
      </c>
      <c r="N309">
        <v>58.5</v>
      </c>
      <c r="O309" s="6">
        <f>(((4.68*N309)-(2.09*X309))-80.99)</f>
        <v>160.18599999999998</v>
      </c>
      <c r="P309">
        <v>48</v>
      </c>
      <c r="Q309">
        <v>37</v>
      </c>
      <c r="R309">
        <v>14.7</v>
      </c>
      <c r="S309">
        <v>9.1999999999999993</v>
      </c>
      <c r="T309">
        <v>5.4</v>
      </c>
      <c r="U309">
        <v>10.199999999999999</v>
      </c>
      <c r="V309">
        <v>7.2</v>
      </c>
      <c r="W309">
        <v>15.2</v>
      </c>
      <c r="X309">
        <v>15.6</v>
      </c>
      <c r="Y309">
        <v>9</v>
      </c>
      <c r="Z309">
        <f t="shared" si="7"/>
        <v>86.5</v>
      </c>
      <c r="AA309" s="6">
        <f>((0.1548*SUM(R309:S309,V309:Y309))+3.58)</f>
        <v>14.55532</v>
      </c>
      <c r="AB309" s="6">
        <f>Anthropometry[[#This Row],[Upper arm girth - R]]-(PI()*(Anthropometry[[#This Row],[Triceps]]/10))</f>
        <v>26.381858799223004</v>
      </c>
      <c r="AC309" s="6">
        <f>Anthropometry[[#This Row],[Mid-thighs]]-PI()*(Anthropometry[[#This Row],[Thigh]]/10)</f>
        <v>53.599115460399922</v>
      </c>
      <c r="AD309" s="6">
        <f>Anthropometry[[#This Row],[Mid-calf]]-PI()*(Anthropometry[[#This Row],[Calf]]/10)</f>
        <v>34.172566611769184</v>
      </c>
      <c r="AE309" s="6"/>
      <c r="AF309" s="6"/>
    </row>
    <row r="310" spans="1:39" ht="14.45">
      <c r="A310" t="s">
        <v>50</v>
      </c>
      <c r="B310" s="12">
        <v>45378</v>
      </c>
      <c r="C310" s="14">
        <v>0.3125</v>
      </c>
      <c r="D310" s="6">
        <v>163.4</v>
      </c>
      <c r="E310">
        <v>63.9</v>
      </c>
      <c r="F310" s="22">
        <f>(E310/((D310/100)*(D310/100)))</f>
        <v>23.93297867080955</v>
      </c>
      <c r="G310" s="13">
        <f t="shared" si="5"/>
        <v>50.325927479999997</v>
      </c>
      <c r="H310" s="22">
        <f t="shared" si="6"/>
        <v>13.57407252</v>
      </c>
      <c r="K310">
        <v>27.6</v>
      </c>
      <c r="L310">
        <v>66.900000000000006</v>
      </c>
      <c r="M310">
        <v>97.8</v>
      </c>
      <c r="N310" s="6">
        <f>(((4.68*O310)-(2.09*X310))-80.99)</f>
        <v>138.83100000000002</v>
      </c>
      <c r="O310" s="6">
        <v>55.5</v>
      </c>
      <c r="Q310">
        <v>36.9</v>
      </c>
      <c r="R310">
        <v>7.4</v>
      </c>
      <c r="S310">
        <v>7</v>
      </c>
      <c r="T310">
        <v>2.9</v>
      </c>
      <c r="U310">
        <v>9.6</v>
      </c>
      <c r="V310">
        <v>5.5</v>
      </c>
      <c r="W310">
        <v>8.1999999999999993</v>
      </c>
      <c r="X310">
        <v>19.100000000000001</v>
      </c>
      <c r="Y310">
        <v>8.6</v>
      </c>
      <c r="Z310">
        <f t="shared" si="7"/>
        <v>68.3</v>
      </c>
      <c r="AA310" s="6">
        <f>((0.1548*SUM(S310:T310,W310:Z310))+3.58)</f>
        <v>21.24268</v>
      </c>
      <c r="AB310" s="6">
        <f>Anthropometry[[#This Row],[Upper arm girth - R]]-(PI()*(Anthropometry[[#This Row],[Triceps]]/10))</f>
        <v>25.275221436343553</v>
      </c>
      <c r="AC310" s="6">
        <f>Anthropometry[[#This Row],[Mid-thighs]]-PI()*(Anthropometry[[#This Row],[Thigh]]/10)</f>
        <v>132.83055803164351</v>
      </c>
      <c r="AD310" s="6">
        <f>Anthropometry[[#This Row],[Mid-calf]]-PI()*(Anthropometry[[#This Row],[Calf]]/10)</f>
        <v>34.198230317912774</v>
      </c>
      <c r="AE310" s="6">
        <v>15.4</v>
      </c>
      <c r="AF310" s="6">
        <v>23.4</v>
      </c>
    </row>
    <row r="311" spans="1:39" ht="14.45">
      <c r="A311" t="s">
        <v>40</v>
      </c>
      <c r="B311" s="12">
        <v>44620</v>
      </c>
      <c r="C311" s="14">
        <v>0.29166666666666669</v>
      </c>
      <c r="D311" s="6">
        <v>183.7</v>
      </c>
      <c r="E311">
        <v>82.9</v>
      </c>
      <c r="G311" s="6">
        <f t="shared" si="5"/>
        <v>77.507164330000009</v>
      </c>
      <c r="H311" s="6">
        <f t="shared" si="6"/>
        <v>5.3928356700000002</v>
      </c>
      <c r="K311">
        <v>31</v>
      </c>
      <c r="M311">
        <v>101</v>
      </c>
      <c r="N311">
        <v>58</v>
      </c>
      <c r="O311" s="6">
        <f>(((4.68*N311)-(2.09*X311))-80.99)</f>
        <v>180.209</v>
      </c>
      <c r="P311">
        <v>47</v>
      </c>
      <c r="Q311">
        <v>35.4</v>
      </c>
      <c r="R311">
        <v>4.5999999999999996</v>
      </c>
      <c r="S311">
        <v>8.8000000000000007</v>
      </c>
      <c r="T311">
        <v>2.4</v>
      </c>
      <c r="U311">
        <v>8</v>
      </c>
      <c r="V311">
        <v>4.7</v>
      </c>
      <c r="W311">
        <v>10.9</v>
      </c>
      <c r="X311">
        <v>4.9000000000000004</v>
      </c>
      <c r="Y311">
        <v>3.4</v>
      </c>
      <c r="Z311">
        <f t="shared" si="7"/>
        <v>47.699999999999996</v>
      </c>
      <c r="AA311" s="6">
        <f>((0.1051*SUM(R311:S311,V311:Y311))+2.585)</f>
        <v>6.5052299999999992</v>
      </c>
      <c r="AB311" s="6">
        <f>Anthropometry[[#This Row],[Upper arm girth - R]]-(PI()*(Anthropometry[[#This Row],[Triceps]]/10))</f>
        <v>29.554867379348696</v>
      </c>
      <c r="AC311" s="6">
        <f>Anthropometry[[#This Row],[Mid-thighs]]-PI()*(Anthropometry[[#This Row],[Thigh]]/10)</f>
        <v>56.460619599741001</v>
      </c>
      <c r="AD311" s="6">
        <f>Anthropometry[[#This Row],[Mid-calf]]-PI()*(Anthropometry[[#This Row],[Calf]]/10)</f>
        <v>34.331858497779471</v>
      </c>
      <c r="AE311" s="6"/>
      <c r="AF311" s="6"/>
    </row>
    <row r="312" spans="1:39" ht="14.45">
      <c r="A312" t="s">
        <v>45</v>
      </c>
      <c r="B312" s="12">
        <v>44621</v>
      </c>
      <c r="C312" s="14">
        <v>0.33333333333333331</v>
      </c>
      <c r="D312" s="6">
        <v>175.7</v>
      </c>
      <c r="E312">
        <v>81.099999999999994</v>
      </c>
      <c r="G312" s="6">
        <f t="shared" si="5"/>
        <v>75.423648799999995</v>
      </c>
      <c r="H312" s="6">
        <f t="shared" si="6"/>
        <v>5.6763512</v>
      </c>
      <c r="K312">
        <v>31.1</v>
      </c>
      <c r="M312">
        <v>102.2</v>
      </c>
      <c r="N312">
        <v>61.5</v>
      </c>
      <c r="O312" s="6">
        <f>(((4.68*N312)-(2.09*X312))-80.99)</f>
        <v>187.81099999999998</v>
      </c>
      <c r="P312">
        <v>50.5</v>
      </c>
      <c r="Q312">
        <v>38.700000000000003</v>
      </c>
      <c r="R312">
        <v>5.6</v>
      </c>
      <c r="S312">
        <v>8.8000000000000007</v>
      </c>
      <c r="T312">
        <v>3</v>
      </c>
      <c r="U312">
        <v>8.5</v>
      </c>
      <c r="V312">
        <v>4.9000000000000004</v>
      </c>
      <c r="W312">
        <v>10.5</v>
      </c>
      <c r="X312">
        <v>9.1</v>
      </c>
      <c r="Y312">
        <v>3.1</v>
      </c>
      <c r="Z312">
        <f t="shared" si="7"/>
        <v>53.5</v>
      </c>
      <c r="AA312" s="6">
        <f>((0.1051*SUM(R312:S312,V312:Y312))+2.585)</f>
        <v>6.9992000000000001</v>
      </c>
      <c r="AB312" s="6">
        <f>Anthropometry[[#This Row],[Upper arm girth - R]]-(PI()*(Anthropometry[[#This Row],[Triceps]]/10))</f>
        <v>29.340708113989717</v>
      </c>
      <c r="AC312" s="6">
        <f>Anthropometry[[#This Row],[Mid-thighs]]-PI()*(Anthropometry[[#This Row],[Thigh]]/10)</f>
        <v>58.641150685233285</v>
      </c>
      <c r="AD312" s="6">
        <f>Anthropometry[[#This Row],[Mid-calf]]-PI()*(Anthropometry[[#This Row],[Calf]]/10)</f>
        <v>37.726106277387167</v>
      </c>
      <c r="AE312" s="6"/>
      <c r="AF312" s="6"/>
    </row>
    <row r="313" spans="1:39" ht="14.45">
      <c r="A313" t="s">
        <v>52</v>
      </c>
      <c r="B313" s="12">
        <v>44621</v>
      </c>
      <c r="C313" s="14">
        <v>0.34375</v>
      </c>
      <c r="D313" s="6">
        <v>174.5</v>
      </c>
      <c r="E313">
        <v>92.2</v>
      </c>
      <c r="G313" s="6">
        <f t="shared" si="5"/>
        <v>83.149758640000016</v>
      </c>
      <c r="H313" s="6">
        <f t="shared" si="6"/>
        <v>9.0502413600000011</v>
      </c>
      <c r="K313">
        <v>37.700000000000003</v>
      </c>
      <c r="M313">
        <v>106</v>
      </c>
      <c r="N313">
        <v>65.2</v>
      </c>
      <c r="O313" s="6">
        <f>(((4.68*N313)-(2.09*X313))-80.99)</f>
        <v>202.82799999999997</v>
      </c>
      <c r="P313">
        <v>54.1</v>
      </c>
      <c r="Q313">
        <v>41.5</v>
      </c>
      <c r="R313">
        <v>13.2</v>
      </c>
      <c r="S313">
        <v>9</v>
      </c>
      <c r="T313">
        <v>4.8</v>
      </c>
      <c r="U313">
        <v>14.6</v>
      </c>
      <c r="V313">
        <v>8.6</v>
      </c>
      <c r="W313">
        <v>18.8</v>
      </c>
      <c r="X313">
        <v>10.199999999999999</v>
      </c>
      <c r="Y313">
        <v>9</v>
      </c>
      <c r="Z313">
        <f t="shared" si="7"/>
        <v>88.2</v>
      </c>
      <c r="AA313" s="6">
        <f>((0.1051*SUM(R313:S313,V313:Y313))+2.585)</f>
        <v>9.8158799999999999</v>
      </c>
      <c r="AB313" s="6">
        <f>Anthropometry[[#This Row],[Upper arm girth - R]]-(PI()*(Anthropometry[[#This Row],[Triceps]]/10))</f>
        <v>33.553097697261478</v>
      </c>
      <c r="AC313" s="6">
        <f>Anthropometry[[#This Row],[Mid-thighs]]-PI()*(Anthropometry[[#This Row],[Thigh]]/10)</f>
        <v>61.995575493338414</v>
      </c>
      <c r="AD313" s="6">
        <f>Anthropometry[[#This Row],[Mid-calf]]-PI()*(Anthropometry[[#This Row],[Calf]]/10)</f>
        <v>38.672566611769184</v>
      </c>
      <c r="AE313" s="6"/>
      <c r="AF313" s="6"/>
    </row>
    <row r="314" spans="1:39" ht="14.45">
      <c r="A314" t="s">
        <v>53</v>
      </c>
      <c r="B314" s="12">
        <v>44623</v>
      </c>
      <c r="C314" s="14">
        <v>0.35416666666666669</v>
      </c>
      <c r="D314" s="6">
        <v>184</v>
      </c>
      <c r="E314">
        <v>80.5</v>
      </c>
      <c r="G314" s="6">
        <f t="shared" si="5"/>
        <v>75.88091</v>
      </c>
      <c r="H314" s="6">
        <f t="shared" si="6"/>
        <v>4.6190899999999999</v>
      </c>
      <c r="K314">
        <v>32.6</v>
      </c>
      <c r="M314">
        <v>99.5</v>
      </c>
      <c r="N314">
        <v>59.5</v>
      </c>
      <c r="O314" s="6">
        <f>(((4.68*N314)-(2.09*X314))-80.99)</f>
        <v>181.79499999999996</v>
      </c>
      <c r="P314">
        <v>47.5</v>
      </c>
      <c r="Q314">
        <v>37.4</v>
      </c>
      <c r="R314">
        <v>3.7</v>
      </c>
      <c r="S314">
        <v>4.8</v>
      </c>
      <c r="T314">
        <v>2.6</v>
      </c>
      <c r="U314">
        <v>6.6</v>
      </c>
      <c r="V314">
        <v>4.2</v>
      </c>
      <c r="W314">
        <v>5.6</v>
      </c>
      <c r="X314">
        <v>7.5</v>
      </c>
      <c r="Y314">
        <v>4.2</v>
      </c>
      <c r="Z314">
        <f t="shared" si="7"/>
        <v>39.200000000000003</v>
      </c>
      <c r="AA314" s="6">
        <f>((0.1051*SUM(R314:S314,V314:Y314))+2.585)</f>
        <v>5.7379999999999995</v>
      </c>
      <c r="AB314" s="6">
        <f>Anthropometry[[#This Row],[Upper arm girth - R]]-(PI()*(Anthropometry[[#This Row],[Triceps]]/10))</f>
        <v>31.437610718171779</v>
      </c>
      <c r="AC314" s="6">
        <f>Anthropometry[[#This Row],[Mid-thighs]]-PI()*(Anthropometry[[#This Row],[Thigh]]/10)</f>
        <v>57.143805509807656</v>
      </c>
      <c r="AD314" s="6">
        <f>Anthropometry[[#This Row],[Mid-calf]]-PI()*(Anthropometry[[#This Row],[Calf]]/10)</f>
        <v>36.080531085492282</v>
      </c>
      <c r="AE314" s="6"/>
      <c r="AF314" s="6"/>
    </row>
    <row r="315" spans="1:39" ht="14.45">
      <c r="A315" t="s">
        <v>50</v>
      </c>
      <c r="B315" s="12" t="s">
        <v>54</v>
      </c>
      <c r="C315" s="14">
        <v>0.32291666666666669</v>
      </c>
      <c r="D315" s="6">
        <v>163</v>
      </c>
      <c r="E315">
        <v>64</v>
      </c>
      <c r="G315" s="6"/>
      <c r="H315" s="6"/>
      <c r="O315" s="6"/>
      <c r="AA315" s="6"/>
      <c r="AB315" s="6"/>
      <c r="AC315" s="6"/>
      <c r="AD315" s="6"/>
      <c r="AE315" s="6"/>
      <c r="AF315" s="6"/>
      <c r="AG315" s="36">
        <v>77.8</v>
      </c>
      <c r="AH315" s="36">
        <v>17.5</v>
      </c>
      <c r="AI315" s="36">
        <v>49.4</v>
      </c>
      <c r="AJ315" s="36">
        <v>11.1</v>
      </c>
      <c r="AK315" s="36">
        <v>19.100000000000001</v>
      </c>
      <c r="AL315" s="36">
        <v>8.6</v>
      </c>
      <c r="AM315" s="36">
        <v>27.7</v>
      </c>
    </row>
    <row r="316" spans="1:39" ht="14.45">
      <c r="A316" t="s">
        <v>55</v>
      </c>
      <c r="B316" s="12">
        <v>43563</v>
      </c>
      <c r="C316" s="14">
        <v>0.36805555555555558</v>
      </c>
      <c r="D316">
        <v>182.7</v>
      </c>
      <c r="E316">
        <v>92.3</v>
      </c>
      <c r="G316" s="6">
        <v>83.773482909999998</v>
      </c>
      <c r="H316" s="6">
        <v>8.5265170900000005</v>
      </c>
      <c r="K316">
        <v>33</v>
      </c>
      <c r="M316">
        <v>109.1</v>
      </c>
      <c r="N316">
        <v>62.5</v>
      </c>
      <c r="O316" s="6">
        <v>180.57799999999997</v>
      </c>
      <c r="P316">
        <v>51.2</v>
      </c>
      <c r="Q316">
        <v>37.4</v>
      </c>
      <c r="R316">
        <v>10.3</v>
      </c>
      <c r="S316">
        <v>8.3000000000000007</v>
      </c>
      <c r="T316">
        <v>3.5</v>
      </c>
      <c r="U316">
        <v>7.8</v>
      </c>
      <c r="V316">
        <v>7.5</v>
      </c>
      <c r="W316">
        <v>14.8</v>
      </c>
      <c r="X316">
        <v>14.8</v>
      </c>
      <c r="Y316">
        <v>7.6</v>
      </c>
      <c r="Z316">
        <v>74.599999999999994</v>
      </c>
      <c r="AA316" s="6">
        <v>9.2378300000000007</v>
      </c>
      <c r="AB316" s="6">
        <f>Anthropometry[[#This Row],[Upper arm girth - R]]-(PI()*(Anthropometry[[#This Row],[Triceps]]/10))</f>
        <v>29.764159566802512</v>
      </c>
      <c r="AC316" s="6">
        <f>Anthropometry[[#This Row],[Mid-thighs]]-PI()*(Anthropometry[[#This Row],[Thigh]]/10)</f>
        <v>57.850442872687104</v>
      </c>
      <c r="AD316" s="6">
        <f>Anthropometry[[#This Row],[Mid-calf]]-PI()*(Anthropometry[[#This Row],[Calf]]/10)</f>
        <v>35.012389583271755</v>
      </c>
      <c r="AE316" s="6"/>
      <c r="AF316" s="6"/>
    </row>
    <row r="317" spans="1:39" ht="14.45">
      <c r="A317" t="s">
        <v>55</v>
      </c>
      <c r="B317" s="12">
        <v>43606</v>
      </c>
      <c r="C317" s="14">
        <v>0.36458333333333331</v>
      </c>
      <c r="D317">
        <v>182.7</v>
      </c>
      <c r="E317">
        <v>94</v>
      </c>
      <c r="G317" s="6">
        <v>86.235223999999988</v>
      </c>
      <c r="H317" s="6">
        <v>7.7647759999999986</v>
      </c>
      <c r="K317">
        <v>33.5</v>
      </c>
      <c r="M317">
        <v>109.3</v>
      </c>
      <c r="N317">
        <v>63.5</v>
      </c>
      <c r="O317" s="6">
        <v>190.483</v>
      </c>
      <c r="P317">
        <v>51.8</v>
      </c>
      <c r="Q317">
        <v>37.4</v>
      </c>
      <c r="R317">
        <v>9.1999999999999993</v>
      </c>
      <c r="S317">
        <v>7.2</v>
      </c>
      <c r="T317">
        <v>3.3</v>
      </c>
      <c r="U317">
        <v>7.7</v>
      </c>
      <c r="V317">
        <v>6.2</v>
      </c>
      <c r="W317">
        <v>12.5</v>
      </c>
      <c r="X317">
        <v>12.3</v>
      </c>
      <c r="Y317">
        <v>6.6</v>
      </c>
      <c r="Z317">
        <v>65</v>
      </c>
      <c r="AA317" s="6">
        <v>8.2603999999999989</v>
      </c>
      <c r="AB317" s="6">
        <f>Anthropometry[[#This Row],[Upper arm girth - R]]-(PI()*(Anthropometry[[#This Row],[Triceps]]/10))</f>
        <v>30.609734758697392</v>
      </c>
      <c r="AC317" s="6">
        <f>Anthropometry[[#This Row],[Mid-thighs]]-PI()*(Anthropometry[[#This Row],[Thigh]]/10)</f>
        <v>59.635841036084557</v>
      </c>
      <c r="AD317" s="6">
        <f>Anthropometry[[#This Row],[Mid-calf]]-PI()*(Anthropometry[[#This Row],[Calf]]/10)</f>
        <v>35.326548848630736</v>
      </c>
      <c r="AE317" s="6"/>
      <c r="AF317" s="6"/>
    </row>
    <row r="318" spans="1:39" ht="14.45">
      <c r="A318" t="s">
        <v>55</v>
      </c>
      <c r="B318" s="12">
        <v>43742</v>
      </c>
      <c r="C318" s="14">
        <v>0.33333333333333331</v>
      </c>
      <c r="D318">
        <v>182.7</v>
      </c>
      <c r="E318">
        <v>94.8</v>
      </c>
      <c r="G318" s="6">
        <v>86.959177319999995</v>
      </c>
      <c r="H318" s="6">
        <v>7.8408226799999987</v>
      </c>
      <c r="K318">
        <v>33</v>
      </c>
      <c r="M318">
        <v>109.5</v>
      </c>
      <c r="N318">
        <v>64.2</v>
      </c>
      <c r="O318" s="6">
        <v>195.43100000000004</v>
      </c>
      <c r="P318">
        <v>53.2</v>
      </c>
      <c r="Q318">
        <v>37.799999999999997</v>
      </c>
      <c r="R318">
        <v>9.6</v>
      </c>
      <c r="S318">
        <v>7.2</v>
      </c>
      <c r="T318">
        <v>2.7</v>
      </c>
      <c r="U318">
        <v>9.1999999999999993</v>
      </c>
      <c r="V318">
        <v>6.5</v>
      </c>
      <c r="W318">
        <v>12.5</v>
      </c>
      <c r="X318">
        <v>11.5</v>
      </c>
      <c r="Y318">
        <v>6.8</v>
      </c>
      <c r="Z318">
        <v>66</v>
      </c>
      <c r="AA318" s="6">
        <v>8.2709099999999989</v>
      </c>
      <c r="AB318" s="6">
        <f>Anthropometry[[#This Row],[Upper arm girth - R]]-(PI()*(Anthropometry[[#This Row],[Triceps]]/10))</f>
        <v>29.984071052553798</v>
      </c>
      <c r="AC318" s="6">
        <f>Anthropometry[[#This Row],[Mid-thighs]]-PI()*(Anthropometry[[#This Row],[Thigh]]/10)</f>
        <v>60.587168448371742</v>
      </c>
      <c r="AD318" s="6">
        <f>Anthropometry[[#This Row],[Mid-calf]]-PI()*(Anthropometry[[#This Row],[Calf]]/10)</f>
        <v>35.663716995558936</v>
      </c>
      <c r="AE318" s="6"/>
      <c r="AF318" s="6"/>
    </row>
    <row r="319" spans="1:39" ht="14.45">
      <c r="A319" t="s">
        <v>55</v>
      </c>
      <c r="B319" s="12">
        <v>43858</v>
      </c>
      <c r="C319" s="14">
        <v>0.33333333333333331</v>
      </c>
      <c r="D319">
        <v>182.7</v>
      </c>
      <c r="E319">
        <v>96.3</v>
      </c>
      <c r="G319" s="6">
        <v>88.17317559</v>
      </c>
      <c r="H319" s="6">
        <v>8.1268244100000011</v>
      </c>
      <c r="K319">
        <v>34.200000000000003</v>
      </c>
      <c r="M319">
        <v>109.9</v>
      </c>
      <c r="N319">
        <v>64.7</v>
      </c>
      <c r="O319" s="6">
        <v>198.81599999999997</v>
      </c>
      <c r="P319">
        <v>53</v>
      </c>
      <c r="Q319">
        <v>38.1</v>
      </c>
      <c r="R319">
        <v>10.4</v>
      </c>
      <c r="S319">
        <v>7.7</v>
      </c>
      <c r="T319">
        <v>3.1</v>
      </c>
      <c r="U319">
        <v>9.8000000000000007</v>
      </c>
      <c r="V319">
        <v>7</v>
      </c>
      <c r="W319">
        <v>11.4</v>
      </c>
      <c r="X319">
        <v>11</v>
      </c>
      <c r="Y319">
        <v>8.1999999999999993</v>
      </c>
      <c r="Z319">
        <v>68.599999999999994</v>
      </c>
      <c r="AA319" s="6">
        <v>8.439070000000001</v>
      </c>
      <c r="AB319" s="6">
        <f>Anthropometry[[#This Row],[Upper arm girth - R]]-(PI()*(Anthropometry[[#This Row],[Triceps]]/10))</f>
        <v>30.932743640266619</v>
      </c>
      <c r="AC319" s="6">
        <f>Anthropometry[[#This Row],[Mid-thighs]]-PI()*(Anthropometry[[#This Row],[Thigh]]/10)</f>
        <v>61.244248081051232</v>
      </c>
      <c r="AD319" s="6">
        <f>Anthropometry[[#This Row],[Mid-calf]]-PI()*(Anthropometry[[#This Row],[Calf]]/10)</f>
        <v>35.523894024056375</v>
      </c>
      <c r="AE319" s="6"/>
      <c r="AF319" s="6"/>
    </row>
    <row r="320" spans="1:39" ht="14.45">
      <c r="A320" t="s">
        <v>40</v>
      </c>
      <c r="B320" s="12">
        <v>44697</v>
      </c>
      <c r="C320" s="14">
        <v>0.32291666666666669</v>
      </c>
      <c r="D320" s="6">
        <v>183.2</v>
      </c>
      <c r="E320">
        <v>85.1</v>
      </c>
      <c r="G320" s="6">
        <f>E320/100*(100-AA320)</f>
        <v>79.063184710000002</v>
      </c>
      <c r="H320" s="6">
        <f>E320/100*AA320</f>
        <v>6.0368152899999989</v>
      </c>
      <c r="K320">
        <v>31.5</v>
      </c>
      <c r="M320">
        <v>103.5</v>
      </c>
      <c r="N320">
        <v>58.5</v>
      </c>
      <c r="O320" s="6">
        <f>(((4.68*N320)-(2.09*X320))-80.99)</f>
        <v>181.92199999999997</v>
      </c>
      <c r="P320">
        <v>47.3</v>
      </c>
      <c r="Q320">
        <v>35.700000000000003</v>
      </c>
      <c r="R320">
        <v>5.4</v>
      </c>
      <c r="S320">
        <v>9.1</v>
      </c>
      <c r="T320">
        <v>2.9</v>
      </c>
      <c r="U320">
        <v>9.6</v>
      </c>
      <c r="V320">
        <v>5.4</v>
      </c>
      <c r="W320">
        <v>14.2</v>
      </c>
      <c r="X320">
        <v>5.2</v>
      </c>
      <c r="Y320">
        <v>3.6</v>
      </c>
      <c r="Z320">
        <f>SUM(R320:Y320)</f>
        <v>55.4</v>
      </c>
      <c r="AA320" s="6">
        <f>((0.1051*SUM(R320:S320,V320:Y320))+2.585)</f>
        <v>7.0937899999999994</v>
      </c>
      <c r="AB320" s="6">
        <f>Anthropometry[[#This Row],[Upper arm girth - R]]-(PI()*(Anthropometry[[#This Row],[Triceps]]/10))</f>
        <v>29.803539967061511</v>
      </c>
      <c r="AC320" s="6">
        <f>Anthropometry[[#This Row],[Mid-thighs]]-PI()*(Anthropometry[[#This Row],[Thigh]]/10)</f>
        <v>56.86637182013331</v>
      </c>
      <c r="AD320" s="6">
        <f>Anthropometry[[#This Row],[Mid-calf]]-PI()*(Anthropometry[[#This Row],[Calf]]/10)</f>
        <v>34.569026644707677</v>
      </c>
      <c r="AE320" s="6"/>
      <c r="AF320" s="6"/>
    </row>
    <row r="321" spans="1:39" ht="14.45">
      <c r="A321" t="s">
        <v>55</v>
      </c>
      <c r="B321" s="12">
        <v>43998</v>
      </c>
      <c r="C321" s="14">
        <v>0.33333333333333331</v>
      </c>
      <c r="D321">
        <v>183.3</v>
      </c>
      <c r="E321">
        <v>95.9</v>
      </c>
      <c r="G321" s="6">
        <v>87.373531</v>
      </c>
      <c r="H321" s="6">
        <v>8.5264690000000023</v>
      </c>
      <c r="K321">
        <v>33.5</v>
      </c>
      <c r="M321">
        <v>107.5</v>
      </c>
      <c r="N321">
        <v>64.5</v>
      </c>
      <c r="O321" s="6">
        <v>196.20799999999997</v>
      </c>
      <c r="P321">
        <v>53.5</v>
      </c>
      <c r="Q321">
        <v>38</v>
      </c>
      <c r="R321">
        <v>11.4</v>
      </c>
      <c r="S321">
        <v>7.4</v>
      </c>
      <c r="T321">
        <v>3.2</v>
      </c>
      <c r="U321">
        <v>11.2</v>
      </c>
      <c r="V321">
        <v>8.1999999999999993</v>
      </c>
      <c r="W321">
        <v>13.6</v>
      </c>
      <c r="X321">
        <v>11.8</v>
      </c>
      <c r="Y321">
        <v>7.6</v>
      </c>
      <c r="Z321">
        <v>74.400000000000006</v>
      </c>
      <c r="AA321" s="6">
        <v>8.8910000000000018</v>
      </c>
      <c r="AB321" s="6">
        <f>Anthropometry[[#This Row],[Upper arm girth - R]]-(PI()*(Anthropometry[[#This Row],[Triceps]]/10))</f>
        <v>29.918584374907635</v>
      </c>
      <c r="AC321" s="6">
        <f>Anthropometry[[#This Row],[Mid-thighs]]-PI()*(Anthropometry[[#This Row],[Thigh]]/10)</f>
        <v>60.79292066876404</v>
      </c>
      <c r="AD321" s="6">
        <f>Anthropometry[[#This Row],[Mid-calf]]-PI()*(Anthropometry[[#This Row],[Calf]]/10)</f>
        <v>35.612389583271757</v>
      </c>
      <c r="AE321" s="6"/>
      <c r="AF321" s="6"/>
    </row>
    <row r="322" spans="1:39" ht="14.45">
      <c r="A322" t="s">
        <v>45</v>
      </c>
      <c r="B322" s="12">
        <v>44699</v>
      </c>
      <c r="C322" s="14">
        <v>0.29166666666666669</v>
      </c>
      <c r="D322" s="6">
        <v>176.4</v>
      </c>
      <c r="E322">
        <v>83</v>
      </c>
      <c r="G322" s="6">
        <f t="shared" ref="G322:G338" si="8">E322/100*(100-AA322)</f>
        <v>76.754498999999996</v>
      </c>
      <c r="H322" s="6">
        <f t="shared" ref="H322:H338" si="9">E322/100*AA322</f>
        <v>6.245501</v>
      </c>
      <c r="K322">
        <v>32.4</v>
      </c>
      <c r="M322">
        <v>101.2</v>
      </c>
      <c r="N322">
        <v>62.1</v>
      </c>
      <c r="O322" s="6">
        <f t="shared" ref="O322:O340" si="10">(((4.68*N322)-(2.09*X322))-80.99)</f>
        <v>186.64799999999997</v>
      </c>
      <c r="P322">
        <v>50.2</v>
      </c>
      <c r="Q322">
        <v>39.200000000000003</v>
      </c>
      <c r="R322">
        <v>6</v>
      </c>
      <c r="S322">
        <v>9</v>
      </c>
      <c r="T322">
        <v>3.1</v>
      </c>
      <c r="U322">
        <v>9.8000000000000007</v>
      </c>
      <c r="V322">
        <v>5</v>
      </c>
      <c r="W322">
        <v>12.2</v>
      </c>
      <c r="X322">
        <v>11</v>
      </c>
      <c r="Y322">
        <v>3.8</v>
      </c>
      <c r="Z322">
        <f t="shared" ref="Z322:Z338" si="11">SUM(R322:Y322)</f>
        <v>59.900000000000006</v>
      </c>
      <c r="AA322" s="6">
        <f t="shared" ref="AA322:AA330" si="12">((0.1051*SUM(R322:S322,V322:Y322))+2.585)</f>
        <v>7.5247000000000002</v>
      </c>
      <c r="AB322" s="6">
        <f>Anthropometry[[#This Row],[Upper arm girth - R]]-(PI()*(Anthropometry[[#This Row],[Triceps]]/10))</f>
        <v>30.515044407846123</v>
      </c>
      <c r="AC322" s="6">
        <f>Anthropometry[[#This Row],[Mid-thighs]]-PI()*(Anthropometry[[#This Row],[Thigh]]/10)</f>
        <v>58.644248081051231</v>
      </c>
      <c r="AD322" s="6">
        <f>Anthropometry[[#This Row],[Mid-calf]]-PI()*(Anthropometry[[#This Row],[Calf]]/10)</f>
        <v>38.006194791635885</v>
      </c>
      <c r="AE322" s="6"/>
      <c r="AF322" s="6"/>
    </row>
    <row r="323" spans="1:39" ht="14.45">
      <c r="A323" t="s">
        <v>48</v>
      </c>
      <c r="B323" s="12">
        <v>44699</v>
      </c>
      <c r="C323" s="14">
        <v>0.3125</v>
      </c>
      <c r="D323" s="6">
        <v>185.8</v>
      </c>
      <c r="E323">
        <v>92.7</v>
      </c>
      <c r="G323" s="6">
        <f t="shared" si="8"/>
        <v>84.49701408</v>
      </c>
      <c r="H323" s="6">
        <f t="shared" si="9"/>
        <v>8.2029859199999997</v>
      </c>
      <c r="K323">
        <v>35.700000000000003</v>
      </c>
      <c r="M323">
        <v>107.8</v>
      </c>
      <c r="N323">
        <v>60.4</v>
      </c>
      <c r="O323" s="6">
        <f t="shared" si="10"/>
        <v>183.70799999999997</v>
      </c>
      <c r="P323">
        <v>49.7</v>
      </c>
      <c r="Q323">
        <v>41</v>
      </c>
      <c r="R323">
        <v>11</v>
      </c>
      <c r="S323">
        <v>10</v>
      </c>
      <c r="T323">
        <v>3.1</v>
      </c>
      <c r="U323">
        <v>13.4</v>
      </c>
      <c r="V323">
        <v>8.1999999999999993</v>
      </c>
      <c r="W323">
        <v>14.8</v>
      </c>
      <c r="X323">
        <v>8.6</v>
      </c>
      <c r="Y323">
        <v>7</v>
      </c>
      <c r="Z323">
        <f t="shared" si="11"/>
        <v>76.099999999999994</v>
      </c>
      <c r="AA323" s="6">
        <f t="shared" si="12"/>
        <v>8.8489599999999999</v>
      </c>
      <c r="AB323" s="6">
        <f>Anthropometry[[#This Row],[Upper arm girth - R]]-(PI()*(Anthropometry[[#This Row],[Triceps]]/10))</f>
        <v>32.244248081051232</v>
      </c>
      <c r="AC323" s="6">
        <f>Anthropometry[[#This Row],[Mid-thighs]]-PI()*(Anthropometry[[#This Row],[Thigh]]/10)</f>
        <v>57.698230317912774</v>
      </c>
      <c r="AD323" s="6">
        <f>Anthropometry[[#This Row],[Mid-calf]]-PI()*(Anthropometry[[#This Row],[Calf]]/10)</f>
        <v>38.800885142487147</v>
      </c>
      <c r="AE323" s="6"/>
      <c r="AF323" s="6"/>
      <c r="AM323">
        <f>Anthropometry[[#This Row],[DEXA Pelvis (kg)]] + Anthropometry[[#This Row],[ DEXA LLM (kg)]]</f>
        <v>0</v>
      </c>
    </row>
    <row r="324" spans="1:39" ht="14.45">
      <c r="A324" t="s">
        <v>55</v>
      </c>
      <c r="B324" s="12">
        <v>44082</v>
      </c>
      <c r="C324" s="14">
        <v>0.42708333333333331</v>
      </c>
      <c r="D324" s="6">
        <v>183.3</v>
      </c>
      <c r="E324">
        <v>98.7</v>
      </c>
      <c r="G324" s="6">
        <f t="shared" si="8"/>
        <v>89.59263516</v>
      </c>
      <c r="H324" s="6">
        <f t="shared" si="9"/>
        <v>9.1073648399999989</v>
      </c>
      <c r="K324">
        <v>34.5</v>
      </c>
      <c r="M324">
        <v>110</v>
      </c>
      <c r="N324">
        <v>66.3</v>
      </c>
      <c r="O324" s="6">
        <f t="shared" si="10"/>
        <v>203.58699999999999</v>
      </c>
      <c r="P324">
        <v>54.7</v>
      </c>
      <c r="Q324">
        <v>38.5</v>
      </c>
      <c r="R324">
        <v>11.2</v>
      </c>
      <c r="S324">
        <v>8.1</v>
      </c>
      <c r="T324">
        <v>3.3</v>
      </c>
      <c r="U324">
        <v>10</v>
      </c>
      <c r="V324">
        <v>8.6</v>
      </c>
      <c r="W324">
        <v>15.4</v>
      </c>
      <c r="X324">
        <v>12.3</v>
      </c>
      <c r="Y324">
        <v>7.6</v>
      </c>
      <c r="Z324">
        <f t="shared" si="11"/>
        <v>76.499999999999986</v>
      </c>
      <c r="AA324" s="6">
        <f t="shared" si="12"/>
        <v>9.2273199999999989</v>
      </c>
      <c r="AB324" s="6">
        <f>Anthropometry[[#This Row],[Upper arm girth - R]]-(PI()*(Anthropometry[[#This Row],[Triceps]]/10))</f>
        <v>30.98141622797943</v>
      </c>
      <c r="AC324" s="6">
        <f>Anthropometry[[#This Row],[Mid-thighs]]-PI()*(Anthropometry[[#This Row],[Thigh]]/10)</f>
        <v>62.435841036084554</v>
      </c>
      <c r="AD324" s="6">
        <f>Anthropometry[[#This Row],[Mid-calf]]-PI()*(Anthropometry[[#This Row],[Calf]]/10)</f>
        <v>36.112389583271757</v>
      </c>
      <c r="AE324" s="6"/>
      <c r="AF324" s="6"/>
    </row>
    <row r="325" spans="1:39" ht="14.45">
      <c r="A325" t="s">
        <v>55</v>
      </c>
      <c r="B325" s="12">
        <v>44152</v>
      </c>
      <c r="C325" s="14">
        <v>0.36458333333333331</v>
      </c>
      <c r="D325">
        <v>182.2</v>
      </c>
      <c r="E325">
        <v>93.6</v>
      </c>
      <c r="G325" s="6">
        <f t="shared" si="8"/>
        <v>86.379808319999995</v>
      </c>
      <c r="H325" s="6">
        <f t="shared" si="9"/>
        <v>7.2201916800000001</v>
      </c>
      <c r="K325">
        <v>33.5</v>
      </c>
      <c r="M325">
        <v>108.4</v>
      </c>
      <c r="N325">
        <v>65.099999999999994</v>
      </c>
      <c r="O325" s="6">
        <f t="shared" si="10"/>
        <v>203.40499999999997</v>
      </c>
      <c r="P325">
        <v>53</v>
      </c>
      <c r="Q325">
        <v>37.700000000000003</v>
      </c>
      <c r="R325">
        <v>9.8000000000000007</v>
      </c>
      <c r="S325">
        <v>7.1</v>
      </c>
      <c r="T325">
        <v>2.9</v>
      </c>
      <c r="U325">
        <v>6.8</v>
      </c>
      <c r="V325">
        <v>6.4</v>
      </c>
      <c r="W325">
        <v>9.1999999999999993</v>
      </c>
      <c r="X325">
        <v>9.6999999999999993</v>
      </c>
      <c r="Y325">
        <v>6.6</v>
      </c>
      <c r="Z325">
        <f t="shared" si="11"/>
        <v>58.500000000000007</v>
      </c>
      <c r="AA325" s="6">
        <f t="shared" si="12"/>
        <v>7.7138800000000005</v>
      </c>
      <c r="AB325" s="6">
        <f>Anthropometry[[#This Row],[Upper arm girth - R]]-(PI()*(Anthropometry[[#This Row],[Triceps]]/10))</f>
        <v>30.421239199482002</v>
      </c>
      <c r="AC325" s="6">
        <f>Anthropometry[[#This Row],[Mid-thighs]]-PI()*(Anthropometry[[#This Row],[Thigh]]/10)</f>
        <v>62.052655126017896</v>
      </c>
      <c r="AD325" s="6">
        <f>Anthropometry[[#This Row],[Mid-calf]]-PI()*(Anthropometry[[#This Row],[Calf]]/10)</f>
        <v>35.62654884863074</v>
      </c>
      <c r="AE325" s="6"/>
      <c r="AF325" s="6"/>
    </row>
    <row r="326" spans="1:39" ht="14.45">
      <c r="A326" t="s">
        <v>52</v>
      </c>
      <c r="B326" s="12">
        <v>44733</v>
      </c>
      <c r="C326" s="14">
        <v>0.54166666666666663</v>
      </c>
      <c r="D326" s="6">
        <v>174.6</v>
      </c>
      <c r="E326">
        <v>92.6</v>
      </c>
      <c r="G326" s="6">
        <f t="shared" si="8"/>
        <v>83.442369299999996</v>
      </c>
      <c r="H326" s="6">
        <f t="shared" si="9"/>
        <v>9.1576306999999986</v>
      </c>
      <c r="K326">
        <v>36.6</v>
      </c>
      <c r="M326">
        <v>106.9</v>
      </c>
      <c r="N326">
        <v>65.5</v>
      </c>
      <c r="O326" s="6">
        <f t="shared" si="10"/>
        <v>200.88799999999998</v>
      </c>
      <c r="P326">
        <v>53</v>
      </c>
      <c r="Q326">
        <v>41.5</v>
      </c>
      <c r="R326">
        <v>11.4</v>
      </c>
      <c r="S326">
        <v>9</v>
      </c>
      <c r="T326">
        <v>4.0999999999999996</v>
      </c>
      <c r="U326">
        <v>14.2</v>
      </c>
      <c r="V326">
        <v>9.3000000000000007</v>
      </c>
      <c r="W326">
        <v>19.399999999999999</v>
      </c>
      <c r="X326">
        <v>11.8</v>
      </c>
      <c r="Y326">
        <v>8.6</v>
      </c>
      <c r="Z326">
        <f t="shared" si="11"/>
        <v>87.8</v>
      </c>
      <c r="AA326" s="6">
        <f t="shared" si="12"/>
        <v>9.8894499999999983</v>
      </c>
      <c r="AB326" s="6">
        <f>Anthropometry[[#This Row],[Upper arm girth - R]]-(PI()*(Anthropometry[[#This Row],[Triceps]]/10))</f>
        <v>33.01858437490764</v>
      </c>
      <c r="AC326" s="6">
        <f>Anthropometry[[#This Row],[Mid-thighs]]-PI()*(Anthropometry[[#This Row],[Thigh]]/10)</f>
        <v>61.79292066876404</v>
      </c>
      <c r="AD326" s="6">
        <f>Anthropometry[[#This Row],[Mid-calf]]-PI()*(Anthropometry[[#This Row],[Calf]]/10)</f>
        <v>38.798230317912775</v>
      </c>
      <c r="AE326" s="6"/>
      <c r="AF326" s="6"/>
    </row>
    <row r="327" spans="1:39" ht="14.45">
      <c r="A327" t="s">
        <v>48</v>
      </c>
      <c r="B327" s="12">
        <v>44735</v>
      </c>
      <c r="C327" s="14">
        <v>0.32291666666666669</v>
      </c>
      <c r="D327" s="6">
        <v>185</v>
      </c>
      <c r="E327">
        <v>92.8</v>
      </c>
      <c r="G327" s="6">
        <f t="shared" si="8"/>
        <v>84.880763520000002</v>
      </c>
      <c r="H327" s="6">
        <f t="shared" si="9"/>
        <v>7.9192364800000004</v>
      </c>
      <c r="K327">
        <v>34.5</v>
      </c>
      <c r="M327">
        <v>107.5</v>
      </c>
      <c r="N327">
        <v>60.5</v>
      </c>
      <c r="O327" s="6">
        <f t="shared" si="10"/>
        <v>186.26599999999996</v>
      </c>
      <c r="P327">
        <v>49</v>
      </c>
      <c r="Q327">
        <v>40.6</v>
      </c>
      <c r="R327">
        <v>10.6</v>
      </c>
      <c r="S327">
        <v>9.6</v>
      </c>
      <c r="T327">
        <v>3</v>
      </c>
      <c r="U327">
        <v>11.2</v>
      </c>
      <c r="V327">
        <v>7.8</v>
      </c>
      <c r="W327">
        <v>13.8</v>
      </c>
      <c r="X327">
        <v>7.6</v>
      </c>
      <c r="Y327">
        <v>7.2</v>
      </c>
      <c r="Z327">
        <f t="shared" si="11"/>
        <v>70.8</v>
      </c>
      <c r="AA327" s="6">
        <f t="shared" si="12"/>
        <v>8.5336600000000011</v>
      </c>
      <c r="AB327" s="6">
        <f>Anthropometry[[#This Row],[Upper arm girth - R]]-(PI()*(Anthropometry[[#This Row],[Triceps]]/10))</f>
        <v>31.16991178719482</v>
      </c>
      <c r="AC327" s="6">
        <f>Anthropometry[[#This Row],[Mid-thighs]]-PI()*(Anthropometry[[#This Row],[Thigh]]/10)</f>
        <v>58.112389583271757</v>
      </c>
      <c r="AD327" s="6">
        <f>Anthropometry[[#This Row],[Mid-calf]]-PI()*(Anthropometry[[#This Row],[Calf]]/10)</f>
        <v>38.338053289415349</v>
      </c>
      <c r="AE327" s="6"/>
      <c r="AF327" s="6"/>
      <c r="AM327">
        <f>Anthropometry[[#This Row],[DEXA Pelvis (kg)]] + Anthropometry[[#This Row],[ DEXA LLM (kg)]]</f>
        <v>0</v>
      </c>
    </row>
    <row r="328" spans="1:39" ht="14.45">
      <c r="A328" t="s">
        <v>52</v>
      </c>
      <c r="B328" s="12">
        <v>44747</v>
      </c>
      <c r="C328" s="14">
        <v>0.54166666666666663</v>
      </c>
      <c r="D328" s="6">
        <v>174.6</v>
      </c>
      <c r="E328">
        <v>91.5</v>
      </c>
      <c r="G328" s="6">
        <f t="shared" si="8"/>
        <v>82.758886050000001</v>
      </c>
      <c r="H328" s="6">
        <f t="shared" si="9"/>
        <v>8.741113949999999</v>
      </c>
      <c r="K328">
        <v>36.5</v>
      </c>
      <c r="M328">
        <v>105.6</v>
      </c>
      <c r="N328">
        <v>66.599999999999994</v>
      </c>
      <c r="O328" s="6">
        <f t="shared" si="10"/>
        <v>211.05199999999991</v>
      </c>
      <c r="P328">
        <v>55.9</v>
      </c>
      <c r="Q328">
        <v>41.3</v>
      </c>
      <c r="R328">
        <v>11.2</v>
      </c>
      <c r="S328">
        <v>9.1999999999999993</v>
      </c>
      <c r="T328">
        <v>3.4</v>
      </c>
      <c r="U328">
        <v>13.4</v>
      </c>
      <c r="V328">
        <v>9.3000000000000007</v>
      </c>
      <c r="W328">
        <v>18.2</v>
      </c>
      <c r="X328">
        <v>9.4</v>
      </c>
      <c r="Y328">
        <v>9</v>
      </c>
      <c r="Z328">
        <f t="shared" si="11"/>
        <v>83.100000000000009</v>
      </c>
      <c r="AA328" s="6">
        <f t="shared" si="12"/>
        <v>9.5531299999999995</v>
      </c>
      <c r="AB328" s="6">
        <f>Anthropometry[[#This Row],[Upper arm girth - R]]-(PI()*(Anthropometry[[#This Row],[Triceps]]/10))</f>
        <v>32.98141622797943</v>
      </c>
      <c r="AC328" s="6">
        <f>Anthropometry[[#This Row],[Mid-thighs]]-PI()*(Anthropometry[[#This Row],[Thigh]]/10)</f>
        <v>63.646902905625588</v>
      </c>
      <c r="AD328" s="6">
        <f>Anthropometry[[#This Row],[Mid-calf]]-PI()*(Anthropometry[[#This Row],[Calf]]/10)</f>
        <v>38.472566611769182</v>
      </c>
      <c r="AE328" s="6"/>
      <c r="AF328" s="6"/>
    </row>
    <row r="329" spans="1:39" ht="14.45">
      <c r="A329" t="s">
        <v>45</v>
      </c>
      <c r="B329" s="12">
        <v>44748</v>
      </c>
      <c r="C329" s="14">
        <v>0.3125</v>
      </c>
      <c r="D329" s="6">
        <v>176.4</v>
      </c>
      <c r="E329">
        <v>83.7</v>
      </c>
      <c r="G329" s="6">
        <f t="shared" si="8"/>
        <v>77.709716549999996</v>
      </c>
      <c r="H329" s="6">
        <f t="shared" si="9"/>
        <v>5.9902834500000006</v>
      </c>
      <c r="K329">
        <v>31.5</v>
      </c>
      <c r="M329">
        <v>101.5</v>
      </c>
      <c r="N329">
        <v>61.5</v>
      </c>
      <c r="O329" s="6">
        <f t="shared" si="10"/>
        <v>186.34799999999996</v>
      </c>
      <c r="P329">
        <v>50</v>
      </c>
      <c r="Q329">
        <v>39.799999999999997</v>
      </c>
      <c r="R329">
        <v>5.4</v>
      </c>
      <c r="S329">
        <v>9.1999999999999993</v>
      </c>
      <c r="T329">
        <v>3.4</v>
      </c>
      <c r="U329">
        <v>8.5</v>
      </c>
      <c r="V329">
        <v>5</v>
      </c>
      <c r="W329">
        <v>10.5</v>
      </c>
      <c r="X329">
        <v>9.8000000000000007</v>
      </c>
      <c r="Y329">
        <v>3.6</v>
      </c>
      <c r="Z329">
        <f t="shared" si="11"/>
        <v>55.4</v>
      </c>
      <c r="AA329" s="6">
        <f t="shared" si="12"/>
        <v>7.1568500000000004</v>
      </c>
      <c r="AB329" s="6">
        <f>Anthropometry[[#This Row],[Upper arm girth - R]]-(PI()*(Anthropometry[[#This Row],[Triceps]]/10))</f>
        <v>29.803539967061511</v>
      </c>
      <c r="AC329" s="6">
        <f>Anthropometry[[#This Row],[Mid-thighs]]-PI()*(Anthropometry[[#This Row],[Thigh]]/10)</f>
        <v>58.421239199482002</v>
      </c>
      <c r="AD329" s="6">
        <f>Anthropometry[[#This Row],[Mid-calf]]-PI()*(Anthropometry[[#This Row],[Calf]]/10)</f>
        <v>38.669026644707671</v>
      </c>
      <c r="AE329" s="6"/>
      <c r="AF329" s="6"/>
    </row>
    <row r="330" spans="1:39" ht="14.45">
      <c r="A330" t="s">
        <v>48</v>
      </c>
      <c r="B330" s="12">
        <v>44748</v>
      </c>
      <c r="C330" s="14">
        <v>0.32291666666666669</v>
      </c>
      <c r="D330" s="6">
        <v>185</v>
      </c>
      <c r="E330">
        <v>91.6</v>
      </c>
      <c r="G330" s="6">
        <f t="shared" si="8"/>
        <v>84.226016799999996</v>
      </c>
      <c r="H330" s="6">
        <f t="shared" si="9"/>
        <v>7.3739831999999996</v>
      </c>
      <c r="K330">
        <v>34.5</v>
      </c>
      <c r="M330">
        <v>106.8</v>
      </c>
      <c r="N330">
        <v>60.5</v>
      </c>
      <c r="O330" s="6">
        <f t="shared" si="10"/>
        <v>185.84799999999996</v>
      </c>
      <c r="P330">
        <v>49</v>
      </c>
      <c r="Q330">
        <v>40.6</v>
      </c>
      <c r="R330">
        <v>9.4</v>
      </c>
      <c r="S330">
        <v>9.4</v>
      </c>
      <c r="T330">
        <v>2.8</v>
      </c>
      <c r="U330">
        <v>11.6</v>
      </c>
      <c r="V330">
        <v>6.8</v>
      </c>
      <c r="W330">
        <v>12.2</v>
      </c>
      <c r="X330">
        <v>7.8</v>
      </c>
      <c r="Y330">
        <v>6.4</v>
      </c>
      <c r="Z330">
        <f t="shared" si="11"/>
        <v>66.400000000000006</v>
      </c>
      <c r="AA330" s="6">
        <f t="shared" si="12"/>
        <v>8.0502000000000002</v>
      </c>
      <c r="AB330" s="6">
        <f>Anthropometry[[#This Row],[Upper arm girth - R]]-(PI()*(Anthropometry[[#This Row],[Triceps]]/10))</f>
        <v>31.546902905625593</v>
      </c>
      <c r="AC330" s="6">
        <f>Anthropometry[[#This Row],[Mid-thighs]]-PI()*(Anthropometry[[#This Row],[Thigh]]/10)</f>
        <v>58.049557730199965</v>
      </c>
      <c r="AD330" s="6">
        <f>Anthropometry[[#This Row],[Mid-calf]]-PI()*(Anthropometry[[#This Row],[Calf]]/10)</f>
        <v>38.589380701702531</v>
      </c>
      <c r="AE330" s="6"/>
      <c r="AF330" s="6"/>
      <c r="AM330">
        <f>Anthropometry[[#This Row],[DEXA Pelvis (kg)]] + Anthropometry[[#This Row],[ DEXA LLM (kg)]]</f>
        <v>0</v>
      </c>
    </row>
    <row r="331" spans="1:39" ht="14.45">
      <c r="A331" t="s">
        <v>51</v>
      </c>
      <c r="B331" s="12">
        <v>44748</v>
      </c>
      <c r="C331" s="14">
        <v>0.47916666666666669</v>
      </c>
      <c r="D331" s="6">
        <v>170.6</v>
      </c>
      <c r="E331">
        <v>70.7</v>
      </c>
      <c r="F331" s="6">
        <f>(E331/((D331/100)*(D331/100)))</f>
        <v>24.2918930359575</v>
      </c>
      <c r="G331" s="6">
        <f t="shared" si="8"/>
        <v>61.033217280000002</v>
      </c>
      <c r="H331" s="6">
        <f t="shared" si="9"/>
        <v>9.6667827200000005</v>
      </c>
      <c r="K331">
        <v>29</v>
      </c>
      <c r="M331">
        <v>102</v>
      </c>
      <c r="N331">
        <v>59.3</v>
      </c>
      <c r="O331" s="6">
        <f t="shared" si="10"/>
        <v>166.43799999999993</v>
      </c>
      <c r="P331">
        <v>48.2</v>
      </c>
      <c r="Q331">
        <v>37.5</v>
      </c>
      <c r="R331">
        <v>13.8</v>
      </c>
      <c r="S331">
        <v>8.8000000000000007</v>
      </c>
      <c r="T331">
        <v>4.3</v>
      </c>
      <c r="U331">
        <v>9.8000000000000007</v>
      </c>
      <c r="V331">
        <v>6.6</v>
      </c>
      <c r="W331">
        <v>12.4</v>
      </c>
      <c r="X331">
        <v>14.4</v>
      </c>
      <c r="Y331">
        <v>9.1999999999999993</v>
      </c>
      <c r="Z331">
        <f t="shared" si="11"/>
        <v>79.300000000000011</v>
      </c>
      <c r="AA331" s="6">
        <f>((0.1548*SUM(R331:S331,V331:Y331))+3.58)</f>
        <v>13.67296</v>
      </c>
      <c r="AB331" s="6">
        <f>Anthropometry[[#This Row],[Upper arm girth - R]]-(PI()*(Anthropometry[[#This Row],[Triceps]]/10))</f>
        <v>24.664602138046085</v>
      </c>
      <c r="AC331" s="6">
        <f>Anthropometry[[#This Row],[Mid-thighs]]-PI()*(Anthropometry[[#This Row],[Thigh]]/10)</f>
        <v>54.776106578830692</v>
      </c>
      <c r="AD331" s="6">
        <f>Anthropometry[[#This Row],[Mid-calf]]-PI()*(Anthropometry[[#This Row],[Calf]]/10)</f>
        <v>34.609734758697392</v>
      </c>
      <c r="AE331" s="6"/>
      <c r="AF331" s="6"/>
    </row>
    <row r="332" spans="1:39" ht="14.45">
      <c r="A332" t="s">
        <v>52</v>
      </c>
      <c r="B332" s="12">
        <v>44761</v>
      </c>
      <c r="C332" s="14">
        <v>0.54166666666666663</v>
      </c>
      <c r="D332" s="6">
        <v>174.6</v>
      </c>
      <c r="E332">
        <v>92.5</v>
      </c>
      <c r="G332" s="6">
        <f t="shared" si="8"/>
        <v>83.702241750000013</v>
      </c>
      <c r="H332" s="6">
        <f t="shared" si="9"/>
        <v>8.7977582499999993</v>
      </c>
      <c r="K332">
        <v>35.5</v>
      </c>
      <c r="M332">
        <v>106.5</v>
      </c>
      <c r="N332">
        <v>66.2</v>
      </c>
      <c r="O332" s="6">
        <f t="shared" si="10"/>
        <v>206.67199999999997</v>
      </c>
      <c r="P332">
        <v>55</v>
      </c>
      <c r="Q332">
        <v>41.7</v>
      </c>
      <c r="R332">
        <v>12.2</v>
      </c>
      <c r="S332">
        <v>8.4</v>
      </c>
      <c r="T332">
        <v>3.4</v>
      </c>
      <c r="U332">
        <v>13.2</v>
      </c>
      <c r="V332">
        <v>8.1</v>
      </c>
      <c r="W332">
        <v>16.399999999999999</v>
      </c>
      <c r="X332">
        <v>10.6</v>
      </c>
      <c r="Y332">
        <v>10.199999999999999</v>
      </c>
      <c r="Z332">
        <f t="shared" si="11"/>
        <v>82.5</v>
      </c>
      <c r="AA332" s="6">
        <f t="shared" ref="AA332:AA349" si="13">((0.1051*SUM(R332:S332,V332:Y332))+2.585)</f>
        <v>9.5110899999999994</v>
      </c>
      <c r="AB332" s="6">
        <f>Anthropometry[[#This Row],[Upper arm girth - R]]-(PI()*(Anthropometry[[#This Row],[Triceps]]/10))</f>
        <v>31.667256962620453</v>
      </c>
      <c r="AC332" s="6">
        <f>Anthropometry[[#This Row],[Mid-thighs]]-PI()*(Anthropometry[[#This Row],[Thigh]]/10)</f>
        <v>62.869911787194823</v>
      </c>
      <c r="AD332" s="6">
        <f>Anthropometry[[#This Row],[Mid-calf]]-PI()*(Anthropometry[[#This Row],[Calf]]/10)</f>
        <v>38.495575493338414</v>
      </c>
      <c r="AE332" s="6"/>
      <c r="AF332" s="6"/>
    </row>
    <row r="333" spans="1:39" ht="14.45">
      <c r="A333" t="s">
        <v>52</v>
      </c>
      <c r="B333" s="12">
        <v>44782</v>
      </c>
      <c r="C333" s="14">
        <v>0.54166666666666663</v>
      </c>
      <c r="D333" s="6">
        <v>174.6</v>
      </c>
      <c r="E333">
        <v>93.4</v>
      </c>
      <c r="G333" s="6">
        <f t="shared" si="8"/>
        <v>84.654070700000005</v>
      </c>
      <c r="H333" s="6">
        <f t="shared" si="9"/>
        <v>8.7459293000000002</v>
      </c>
      <c r="K333">
        <v>36.6</v>
      </c>
      <c r="M333">
        <v>105.5</v>
      </c>
      <c r="N333">
        <v>66.2</v>
      </c>
      <c r="O333" s="6">
        <f t="shared" si="10"/>
        <v>205.41799999999995</v>
      </c>
      <c r="P333">
        <v>54.5</v>
      </c>
      <c r="Q333">
        <v>41.5</v>
      </c>
      <c r="R333">
        <v>11.6</v>
      </c>
      <c r="S333">
        <v>9.4</v>
      </c>
      <c r="T333">
        <v>3.2</v>
      </c>
      <c r="U333">
        <v>11.9</v>
      </c>
      <c r="V333">
        <v>8.1999999999999993</v>
      </c>
      <c r="W333">
        <v>15.9</v>
      </c>
      <c r="X333">
        <v>11.2</v>
      </c>
      <c r="Y333">
        <v>8.1999999999999993</v>
      </c>
      <c r="Z333">
        <f t="shared" si="11"/>
        <v>79.599999999999994</v>
      </c>
      <c r="AA333" s="6">
        <f t="shared" si="13"/>
        <v>9.3639499999999991</v>
      </c>
      <c r="AB333" s="6">
        <f>Anthropometry[[#This Row],[Upper arm girth - R]]-(PI()*(Anthropometry[[#This Row],[Triceps]]/10))</f>
        <v>32.955752521835841</v>
      </c>
      <c r="AC333" s="6">
        <f>Anthropometry[[#This Row],[Mid-thighs]]-PI()*(Anthropometry[[#This Row],[Thigh]]/10)</f>
        <v>62.681416227979433</v>
      </c>
      <c r="AD333" s="6">
        <f>Anthropometry[[#This Row],[Mid-calf]]-PI()*(Anthropometry[[#This Row],[Calf]]/10)</f>
        <v>38.923894024056366</v>
      </c>
      <c r="AE333" s="6"/>
      <c r="AF333" s="6"/>
    </row>
    <row r="334" spans="1:39" ht="14.45">
      <c r="A334" t="s">
        <v>45</v>
      </c>
      <c r="B334" s="12">
        <v>44802</v>
      </c>
      <c r="C334" s="14">
        <v>0.29166666666666669</v>
      </c>
      <c r="D334" s="6">
        <v>176.4</v>
      </c>
      <c r="E334">
        <v>82.2</v>
      </c>
      <c r="G334" s="6">
        <f t="shared" si="8"/>
        <v>76.222037880000016</v>
      </c>
      <c r="H334" s="6">
        <f t="shared" si="9"/>
        <v>5.9779621199999999</v>
      </c>
      <c r="K334">
        <v>31.4</v>
      </c>
      <c r="M334">
        <v>101</v>
      </c>
      <c r="N334">
        <v>61.5</v>
      </c>
      <c r="O334" s="6">
        <f t="shared" si="10"/>
        <v>187.18399999999997</v>
      </c>
      <c r="P334">
        <v>49.5</v>
      </c>
      <c r="Q334">
        <v>39</v>
      </c>
      <c r="R334">
        <v>5.7</v>
      </c>
      <c r="S334">
        <v>9</v>
      </c>
      <c r="T334">
        <v>2.9</v>
      </c>
      <c r="U334">
        <v>11</v>
      </c>
      <c r="V334">
        <v>5.6</v>
      </c>
      <c r="W334">
        <v>11.5</v>
      </c>
      <c r="X334">
        <v>9.4</v>
      </c>
      <c r="Y334">
        <v>3.4</v>
      </c>
      <c r="Z334">
        <f t="shared" si="11"/>
        <v>58.499999999999993</v>
      </c>
      <c r="AA334" s="6">
        <f t="shared" si="13"/>
        <v>7.2724599999999997</v>
      </c>
      <c r="AB334" s="6">
        <f>Anthropometry[[#This Row],[Upper arm girth - R]]-(PI()*(Anthropometry[[#This Row],[Triceps]]/10))</f>
        <v>29.609292187453818</v>
      </c>
      <c r="AC334" s="6">
        <f>Anthropometry[[#This Row],[Mid-thighs]]-PI()*(Anthropometry[[#This Row],[Thigh]]/10)</f>
        <v>58.546902905625593</v>
      </c>
      <c r="AD334" s="6">
        <f>Anthropometry[[#This Row],[Mid-calf]]-PI()*(Anthropometry[[#This Row],[Calf]]/10)</f>
        <v>37.931858497779473</v>
      </c>
      <c r="AE334" s="6"/>
      <c r="AF334" s="6"/>
    </row>
    <row r="335" spans="1:39" ht="14.45">
      <c r="A335" t="s">
        <v>55</v>
      </c>
      <c r="B335" s="12">
        <v>44211</v>
      </c>
      <c r="C335" s="14">
        <v>0.29166666666666669</v>
      </c>
      <c r="D335">
        <v>182.2</v>
      </c>
      <c r="E335">
        <v>92.9</v>
      </c>
      <c r="G335" s="6">
        <f t="shared" si="8"/>
        <v>85.519002100000009</v>
      </c>
      <c r="H335" s="6">
        <f t="shared" si="9"/>
        <v>7.3809979000000006</v>
      </c>
      <c r="K335">
        <v>32.799999999999997</v>
      </c>
      <c r="M335">
        <v>108</v>
      </c>
      <c r="N335">
        <v>64.5</v>
      </c>
      <c r="O335" s="6">
        <f t="shared" si="10"/>
        <v>199.13399999999996</v>
      </c>
      <c r="P335">
        <v>53</v>
      </c>
      <c r="Q335">
        <v>37.4</v>
      </c>
      <c r="R335">
        <v>9.3000000000000007</v>
      </c>
      <c r="S335">
        <v>7.7</v>
      </c>
      <c r="T335">
        <v>3</v>
      </c>
      <c r="U335">
        <v>6.9</v>
      </c>
      <c r="V335">
        <v>6.4</v>
      </c>
      <c r="W335">
        <v>10.6</v>
      </c>
      <c r="X335">
        <v>10.4</v>
      </c>
      <c r="Y335">
        <v>6.6</v>
      </c>
      <c r="Z335">
        <f t="shared" si="11"/>
        <v>60.9</v>
      </c>
      <c r="AA335" s="6">
        <f t="shared" si="13"/>
        <v>7.9451000000000001</v>
      </c>
      <c r="AB335" s="6">
        <f>Anthropometry[[#This Row],[Upper arm girth - R]]-(PI()*(Anthropometry[[#This Row],[Triceps]]/10))</f>
        <v>29.87831883216149</v>
      </c>
      <c r="AC335" s="6">
        <f>Anthropometry[[#This Row],[Mid-thighs]]-PI()*(Anthropometry[[#This Row],[Thigh]]/10)</f>
        <v>61.232743640266612</v>
      </c>
      <c r="AD335" s="6">
        <f>Anthropometry[[#This Row],[Mid-calf]]-PI()*(Anthropometry[[#This Row],[Calf]]/10)</f>
        <v>35.326548848630736</v>
      </c>
      <c r="AE335" s="6"/>
      <c r="AF335" s="6"/>
    </row>
    <row r="336" spans="1:39" ht="14.45">
      <c r="A336" t="s">
        <v>48</v>
      </c>
      <c r="B336" s="12">
        <v>44803</v>
      </c>
      <c r="C336" s="14">
        <v>0.36458333333333331</v>
      </c>
      <c r="D336" s="6">
        <v>185</v>
      </c>
      <c r="E336">
        <v>90.5</v>
      </c>
      <c r="G336" s="6">
        <f t="shared" si="8"/>
        <v>83.176522800000001</v>
      </c>
      <c r="H336" s="6">
        <f t="shared" si="9"/>
        <v>7.3234772000000001</v>
      </c>
      <c r="K336">
        <v>34</v>
      </c>
      <c r="M336">
        <v>106</v>
      </c>
      <c r="N336">
        <v>61</v>
      </c>
      <c r="O336" s="6">
        <f t="shared" si="10"/>
        <v>187.76999999999998</v>
      </c>
      <c r="P336">
        <v>49.6</v>
      </c>
      <c r="Q336">
        <v>40.5</v>
      </c>
      <c r="R336">
        <v>10.4</v>
      </c>
      <c r="S336">
        <v>9</v>
      </c>
      <c r="T336">
        <v>2.2000000000000002</v>
      </c>
      <c r="U336">
        <v>9.5</v>
      </c>
      <c r="V336">
        <v>6.9</v>
      </c>
      <c r="W336">
        <v>11.6</v>
      </c>
      <c r="X336">
        <v>8</v>
      </c>
      <c r="Y336">
        <v>6.5</v>
      </c>
      <c r="Z336">
        <f t="shared" si="11"/>
        <v>64.099999999999994</v>
      </c>
      <c r="AA336" s="6">
        <f t="shared" si="13"/>
        <v>8.0922400000000003</v>
      </c>
      <c r="AB336" s="6">
        <f>Anthropometry[[#This Row],[Upper arm girth - R]]-(PI()*(Anthropometry[[#This Row],[Triceps]]/10))</f>
        <v>30.732743640266616</v>
      </c>
      <c r="AC336" s="6">
        <f>Anthropometry[[#This Row],[Mid-thighs]]-PI()*(Anthropometry[[#This Row],[Thigh]]/10)</f>
        <v>58.486725877128166</v>
      </c>
      <c r="AD336" s="6">
        <f>Anthropometry[[#This Row],[Mid-calf]]-PI()*(Anthropometry[[#This Row],[Calf]]/10)</f>
        <v>38.457964775166637</v>
      </c>
      <c r="AE336" s="6"/>
      <c r="AF336" s="6"/>
      <c r="AM336">
        <f>Anthropometry[[#This Row],[DEXA Pelvis (kg)]] + Anthropometry[[#This Row],[ DEXA LLM (kg)]]</f>
        <v>0</v>
      </c>
    </row>
    <row r="337" spans="1:39" ht="14.45">
      <c r="A337" t="s">
        <v>52</v>
      </c>
      <c r="B337" s="12">
        <v>44803</v>
      </c>
      <c r="C337" s="14">
        <v>0.33333333333333331</v>
      </c>
      <c r="D337" s="6">
        <v>174.6</v>
      </c>
      <c r="E337">
        <v>93</v>
      </c>
      <c r="G337" s="6">
        <f t="shared" si="8"/>
        <v>83.910328800000002</v>
      </c>
      <c r="H337" s="6">
        <f t="shared" si="9"/>
        <v>9.0896711999999997</v>
      </c>
      <c r="K337">
        <v>37</v>
      </c>
      <c r="M337">
        <v>105.8</v>
      </c>
      <c r="N337">
        <v>66.5</v>
      </c>
      <c r="O337" s="6">
        <f t="shared" si="10"/>
        <v>207.65799999999996</v>
      </c>
      <c r="P337">
        <v>54</v>
      </c>
      <c r="Q337">
        <v>41.5</v>
      </c>
      <c r="R337">
        <v>12.6</v>
      </c>
      <c r="S337">
        <v>9</v>
      </c>
      <c r="T337">
        <v>3.9</v>
      </c>
      <c r="U337">
        <v>13.2</v>
      </c>
      <c r="V337">
        <v>7.8</v>
      </c>
      <c r="W337">
        <v>19.399999999999999</v>
      </c>
      <c r="X337">
        <v>10.8</v>
      </c>
      <c r="Y337">
        <v>8.8000000000000007</v>
      </c>
      <c r="Z337">
        <f t="shared" si="11"/>
        <v>85.5</v>
      </c>
      <c r="AA337" s="6">
        <f t="shared" si="13"/>
        <v>9.7738399999999999</v>
      </c>
      <c r="AB337" s="6">
        <f>Anthropometry[[#This Row],[Upper arm girth - R]]-(PI()*(Anthropometry[[#This Row],[Triceps]]/10))</f>
        <v>33.041593256476858</v>
      </c>
      <c r="AC337" s="6">
        <f>Anthropometry[[#This Row],[Mid-thighs]]-PI()*(Anthropometry[[#This Row],[Thigh]]/10)</f>
        <v>63.107079934123021</v>
      </c>
      <c r="AD337" s="6">
        <f>Anthropometry[[#This Row],[Mid-calf]]-PI()*(Anthropometry[[#This Row],[Calf]]/10)</f>
        <v>38.735398464840983</v>
      </c>
      <c r="AE337" s="6"/>
      <c r="AF337" s="6"/>
    </row>
    <row r="338" spans="1:39" ht="14.45">
      <c r="A338" t="s">
        <v>40</v>
      </c>
      <c r="B338" s="12">
        <v>44803</v>
      </c>
      <c r="C338" s="14">
        <v>0.35416666666666669</v>
      </c>
      <c r="D338" s="6">
        <v>183.2</v>
      </c>
      <c r="E338">
        <v>81.8</v>
      </c>
      <c r="G338" s="6">
        <f t="shared" si="8"/>
        <v>76.272389539999992</v>
      </c>
      <c r="H338" s="6">
        <f t="shared" si="9"/>
        <v>5.52761046</v>
      </c>
      <c r="K338">
        <v>31.8</v>
      </c>
      <c r="M338">
        <v>101.2</v>
      </c>
      <c r="N338">
        <v>58.1</v>
      </c>
      <c r="O338" s="6">
        <f t="shared" si="10"/>
        <v>181.09500000000003</v>
      </c>
      <c r="P338">
        <v>46.5</v>
      </c>
      <c r="Q338">
        <v>35.200000000000003</v>
      </c>
      <c r="R338">
        <v>5.6</v>
      </c>
      <c r="S338">
        <v>9.1</v>
      </c>
      <c r="T338">
        <v>2.5</v>
      </c>
      <c r="U338">
        <v>6.5</v>
      </c>
      <c r="V338">
        <v>4.5</v>
      </c>
      <c r="W338">
        <v>12.6</v>
      </c>
      <c r="X338">
        <v>4.7</v>
      </c>
      <c r="Y338">
        <v>3.2</v>
      </c>
      <c r="Z338">
        <f t="shared" si="11"/>
        <v>48.7</v>
      </c>
      <c r="AA338" s="6">
        <f t="shared" si="13"/>
        <v>6.7574700000000005</v>
      </c>
      <c r="AB338" s="6">
        <f>Anthropometry[[#This Row],[Upper arm girth - R]]-(PI()*(Anthropometry[[#This Row],[Triceps]]/10))</f>
        <v>30.040708113989716</v>
      </c>
      <c r="AC338" s="6">
        <f>Anthropometry[[#This Row],[Mid-thighs]]-PI()*(Anthropometry[[#This Row],[Thigh]]/10)</f>
        <v>56.623451452812802</v>
      </c>
      <c r="AD338" s="6">
        <f>Anthropometry[[#This Row],[Mid-calf]]-PI()*(Anthropometry[[#This Row],[Calf]]/10)</f>
        <v>34.194690350851268</v>
      </c>
      <c r="AE338" s="6"/>
      <c r="AF338" s="6"/>
    </row>
    <row r="339" spans="1:39" ht="14.45">
      <c r="A339" t="s">
        <v>48</v>
      </c>
      <c r="B339" s="12">
        <v>44846</v>
      </c>
      <c r="C339" s="14">
        <v>0.3125</v>
      </c>
      <c r="D339" s="6">
        <v>185.7</v>
      </c>
      <c r="E339">
        <v>89.7</v>
      </c>
      <c r="G339" s="6">
        <v>82.3</v>
      </c>
      <c r="H339" s="6">
        <v>7.4</v>
      </c>
      <c r="K339">
        <v>34.5</v>
      </c>
      <c r="M339">
        <v>106.5</v>
      </c>
      <c r="N339">
        <v>59.4</v>
      </c>
      <c r="O339" s="6">
        <f t="shared" si="10"/>
        <v>180.69999999999993</v>
      </c>
      <c r="P339">
        <v>48.2</v>
      </c>
      <c r="Q339">
        <v>40.5</v>
      </c>
      <c r="R339">
        <v>9.3000000000000007</v>
      </c>
      <c r="S339">
        <v>10.199999999999999</v>
      </c>
      <c r="T339">
        <v>3.8</v>
      </c>
      <c r="U339">
        <v>13.2</v>
      </c>
      <c r="V339">
        <v>6.4</v>
      </c>
      <c r="W339">
        <v>14</v>
      </c>
      <c r="X339">
        <v>7.8</v>
      </c>
      <c r="Y339">
        <v>6.2</v>
      </c>
      <c r="Z339">
        <v>70.900000000000006</v>
      </c>
      <c r="AA339" s="6">
        <f t="shared" si="13"/>
        <v>8.2498900000000006</v>
      </c>
      <c r="AB339" s="6">
        <f>Anthropometry[[#This Row],[Upper arm girth - R]]-(PI()*(Anthropometry[[#This Row],[Triceps]]/10))</f>
        <v>31.578318832161493</v>
      </c>
      <c r="AC339" s="6">
        <f>Anthropometry[[#This Row],[Mid-thighs]]-PI()*(Anthropometry[[#This Row],[Thigh]]/10)</f>
        <v>56.949557730199963</v>
      </c>
      <c r="AD339" s="6">
        <f>Anthropometry[[#This Row],[Mid-calf]]-PI()*(Anthropometry[[#This Row],[Calf]]/10)</f>
        <v>38.552212554774329</v>
      </c>
      <c r="AE339" s="6"/>
      <c r="AF339" s="6"/>
      <c r="AM339">
        <f>Anthropometry[[#This Row],[DEXA Pelvis (kg)]] + Anthropometry[[#This Row],[ DEXA LLM (kg)]]</f>
        <v>0</v>
      </c>
    </row>
    <row r="340" spans="1:39" ht="14.45">
      <c r="A340" t="s">
        <v>55</v>
      </c>
      <c r="B340" s="12">
        <v>44284</v>
      </c>
      <c r="C340" s="14">
        <v>0.32291666666666669</v>
      </c>
      <c r="D340" s="6">
        <v>182.2</v>
      </c>
      <c r="E340">
        <v>92.8</v>
      </c>
      <c r="G340" s="6">
        <f t="shared" ref="G340:G349" si="14">E340/100*(100-AA340)</f>
        <v>85.222128319999996</v>
      </c>
      <c r="H340" s="6">
        <f t="shared" ref="H340:H349" si="15">E340/100*AA340</f>
        <v>7.5778716800000003</v>
      </c>
      <c r="K340">
        <v>33.200000000000003</v>
      </c>
      <c r="M340">
        <v>108.2</v>
      </c>
      <c r="N340">
        <v>64</v>
      </c>
      <c r="O340" s="6">
        <f t="shared" si="10"/>
        <v>197.21199999999999</v>
      </c>
      <c r="P340">
        <v>52.2</v>
      </c>
      <c r="Q340">
        <v>37.700000000000003</v>
      </c>
      <c r="R340">
        <v>9.5</v>
      </c>
      <c r="S340">
        <v>7.8</v>
      </c>
      <c r="T340">
        <v>2.7</v>
      </c>
      <c r="U340">
        <v>7.8</v>
      </c>
      <c r="V340">
        <v>6.6</v>
      </c>
      <c r="W340">
        <v>11.2</v>
      </c>
      <c r="X340">
        <v>10.199999999999999</v>
      </c>
      <c r="Y340">
        <v>7.8</v>
      </c>
      <c r="Z340">
        <f t="shared" ref="Z340:Z375" si="16">SUM(R340:Y340)</f>
        <v>63.599999999999994</v>
      </c>
      <c r="AA340" s="6">
        <f t="shared" si="13"/>
        <v>8.1658100000000005</v>
      </c>
      <c r="AB340" s="6">
        <f>Anthropometry[[#This Row],[Upper arm girth - R]]-(PI()*(Anthropometry[[#This Row],[Triceps]]/10))</f>
        <v>30.2154869790897</v>
      </c>
      <c r="AC340" s="6">
        <f>Anthropometry[[#This Row],[Mid-thighs]]-PI()*(Anthropometry[[#This Row],[Thigh]]/10)</f>
        <v>60.795575493338411</v>
      </c>
      <c r="AD340" s="6">
        <f>Anthropometry[[#This Row],[Mid-calf]]-PI()*(Anthropometry[[#This Row],[Calf]]/10)</f>
        <v>35.249557730199967</v>
      </c>
      <c r="AE340" s="6"/>
      <c r="AF340" s="6"/>
    </row>
    <row r="341" spans="1:39" ht="14.45">
      <c r="A341" t="s">
        <v>55</v>
      </c>
      <c r="B341" s="12">
        <v>44348</v>
      </c>
      <c r="C341" s="14">
        <v>0.35416666666666669</v>
      </c>
      <c r="D341" s="6">
        <v>182.2</v>
      </c>
      <c r="E341">
        <v>89.4</v>
      </c>
      <c r="G341" s="6">
        <f t="shared" si="14"/>
        <v>82.541375040000005</v>
      </c>
      <c r="H341" s="6">
        <f t="shared" si="15"/>
        <v>6.8586249600000002</v>
      </c>
      <c r="K341">
        <v>33.200000000000003</v>
      </c>
      <c r="M341">
        <v>106.2</v>
      </c>
      <c r="N341">
        <v>63.8</v>
      </c>
      <c r="O341" s="6">
        <f>(((4.68*N340)-(2.09*X340))-80.99)</f>
        <v>197.21199999999999</v>
      </c>
      <c r="P341">
        <v>52.8</v>
      </c>
      <c r="Q341">
        <v>37.5</v>
      </c>
      <c r="R341">
        <v>8.8000000000000007</v>
      </c>
      <c r="S341">
        <v>7.4</v>
      </c>
      <c r="T341">
        <v>2.8</v>
      </c>
      <c r="U341">
        <v>7.3</v>
      </c>
      <c r="V341">
        <v>5.4</v>
      </c>
      <c r="W341">
        <v>9.8000000000000007</v>
      </c>
      <c r="X341">
        <v>10</v>
      </c>
      <c r="Y341">
        <v>7</v>
      </c>
      <c r="Z341">
        <f t="shared" si="16"/>
        <v>58.5</v>
      </c>
      <c r="AA341" s="6">
        <f t="shared" si="13"/>
        <v>7.6718400000000004</v>
      </c>
      <c r="AB341" s="6">
        <f>Anthropometry[[#This Row],[Upper arm girth - R]]-(PI()*(Anthropometry[[#This Row],[Triceps]]/10))</f>
        <v>30.435398464840986</v>
      </c>
      <c r="AC341" s="6">
        <f>Anthropometry[[#This Row],[Mid-thighs]]-PI()*(Anthropometry[[#This Row],[Thigh]]/10)</f>
        <v>60.6584073464102</v>
      </c>
      <c r="AD341" s="6">
        <f>Anthropometry[[#This Row],[Mid-calf]]-PI()*(Anthropometry[[#This Row],[Calf]]/10)</f>
        <v>35.300885142487147</v>
      </c>
      <c r="AE341" s="6"/>
      <c r="AF341" s="6"/>
    </row>
    <row r="342" spans="1:39" ht="14.45">
      <c r="A342" t="s">
        <v>55</v>
      </c>
      <c r="B342" s="5">
        <v>44545</v>
      </c>
      <c r="C342" s="14">
        <v>0.39583333333333331</v>
      </c>
      <c r="D342">
        <v>182.1</v>
      </c>
      <c r="E342">
        <v>98.9</v>
      </c>
      <c r="G342" s="6">
        <f t="shared" si="14"/>
        <v>88.215022020000006</v>
      </c>
      <c r="H342" s="6">
        <f t="shared" si="15"/>
        <v>10.684977979999999</v>
      </c>
      <c r="K342">
        <v>33.5</v>
      </c>
      <c r="M342">
        <v>112</v>
      </c>
      <c r="N342">
        <v>67</v>
      </c>
      <c r="O342" s="6">
        <f>(((4.68*N341)-(2.09*X341))-80.99)</f>
        <v>196.69399999999996</v>
      </c>
      <c r="P342">
        <v>55</v>
      </c>
      <c r="Q342">
        <v>38.5</v>
      </c>
      <c r="R342">
        <v>14.2</v>
      </c>
      <c r="S342">
        <v>9.4</v>
      </c>
      <c r="T342">
        <v>3.4</v>
      </c>
      <c r="U342">
        <v>12.4</v>
      </c>
      <c r="V342">
        <v>10.199999999999999</v>
      </c>
      <c r="W342">
        <v>18.8</v>
      </c>
      <c r="X342">
        <v>14.8</v>
      </c>
      <c r="Y342">
        <v>10.8</v>
      </c>
      <c r="Z342">
        <f t="shared" si="16"/>
        <v>93.999999999999986</v>
      </c>
      <c r="AA342" s="6">
        <f t="shared" si="13"/>
        <v>10.803819999999998</v>
      </c>
      <c r="AB342" s="6">
        <f>Anthropometry[[#This Row],[Upper arm girth - R]]-(PI()*(Anthropometry[[#This Row],[Triceps]]/10))</f>
        <v>29.038938431902494</v>
      </c>
      <c r="AC342" s="6">
        <f>Anthropometry[[#This Row],[Mid-thighs]]-PI()*(Anthropometry[[#This Row],[Thigh]]/10)</f>
        <v>62.350442872687104</v>
      </c>
      <c r="AD342" s="6">
        <f>Anthropometry[[#This Row],[Mid-calf]]-PI()*(Anthropometry[[#This Row],[Calf]]/10)</f>
        <v>35.107079934123021</v>
      </c>
      <c r="AE342" s="6"/>
      <c r="AF342" s="6"/>
    </row>
    <row r="343" spans="1:39" ht="14.45">
      <c r="A343" t="s">
        <v>52</v>
      </c>
      <c r="B343" s="12">
        <v>44869</v>
      </c>
      <c r="C343" s="14">
        <v>0.3125</v>
      </c>
      <c r="D343" s="6">
        <v>174.5</v>
      </c>
      <c r="E343">
        <v>93.5</v>
      </c>
      <c r="G343" s="6">
        <f t="shared" si="14"/>
        <v>83.968385599999991</v>
      </c>
      <c r="H343" s="6">
        <f t="shared" si="15"/>
        <v>9.5316144000000005</v>
      </c>
      <c r="K343">
        <v>37.200000000000003</v>
      </c>
      <c r="M343">
        <v>108.7</v>
      </c>
      <c r="N343">
        <v>67.5</v>
      </c>
      <c r="O343" s="6">
        <f>(((4.68*N343)-(2.09*X343))-80.99)</f>
        <v>204.39599999999996</v>
      </c>
      <c r="P343">
        <v>55.3</v>
      </c>
      <c r="Q343">
        <v>42.2</v>
      </c>
      <c r="R343">
        <v>9</v>
      </c>
      <c r="S343">
        <v>10.9</v>
      </c>
      <c r="T343">
        <v>6.2</v>
      </c>
      <c r="U343">
        <v>14.9</v>
      </c>
      <c r="V343" s="24">
        <v>11.2</v>
      </c>
      <c r="W343">
        <v>17.8</v>
      </c>
      <c r="X343">
        <v>14.6</v>
      </c>
      <c r="Y343">
        <v>8.9</v>
      </c>
      <c r="Z343">
        <f t="shared" si="16"/>
        <v>93.5</v>
      </c>
      <c r="AA343" s="6">
        <f t="shared" si="13"/>
        <v>10.194240000000001</v>
      </c>
      <c r="AB343" s="6">
        <f>Anthropometry[[#This Row],[Upper arm girth - R]]-(PI()*(Anthropometry[[#This Row],[Triceps]]/10))</f>
        <v>34.372566611769187</v>
      </c>
      <c r="AC343" s="6">
        <f>Anthropometry[[#This Row],[Mid-thighs]]-PI()*(Anthropometry[[#This Row],[Thigh]]/10)</f>
        <v>62.913274725758903</v>
      </c>
      <c r="AD343" s="6">
        <f>Anthropometry[[#This Row],[Mid-calf]]-PI()*(Anthropometry[[#This Row],[Calf]]/10)</f>
        <v>39.403982538305087</v>
      </c>
      <c r="AE343" s="6"/>
      <c r="AF343" s="6"/>
    </row>
    <row r="344" spans="1:39" ht="14.45">
      <c r="A344" t="s">
        <v>55</v>
      </c>
      <c r="B344" s="12">
        <v>44620</v>
      </c>
      <c r="C344" s="14">
        <v>0.30208333333333331</v>
      </c>
      <c r="D344" s="6">
        <v>182.1</v>
      </c>
      <c r="E344">
        <v>97.4</v>
      </c>
      <c r="G344" s="6">
        <f t="shared" si="14"/>
        <v>88.975611020000002</v>
      </c>
      <c r="H344" s="6">
        <f t="shared" si="15"/>
        <v>8.4243889800000016</v>
      </c>
      <c r="K344">
        <v>34</v>
      </c>
      <c r="M344">
        <v>110</v>
      </c>
      <c r="N344">
        <v>67</v>
      </c>
      <c r="O344" s="6">
        <f>(((4.68*N343)-(2.09*X343))-80.99)</f>
        <v>204.39599999999996</v>
      </c>
      <c r="P344">
        <v>55</v>
      </c>
      <c r="Q344">
        <v>38.299999999999997</v>
      </c>
      <c r="R344">
        <v>12.8</v>
      </c>
      <c r="S344">
        <v>8.5</v>
      </c>
      <c r="T344">
        <v>3.6</v>
      </c>
      <c r="U344">
        <v>11.7</v>
      </c>
      <c r="V344">
        <v>8.6999999999999993</v>
      </c>
      <c r="W344">
        <v>15</v>
      </c>
      <c r="X344">
        <v>4.4000000000000004</v>
      </c>
      <c r="Y344">
        <v>8.3000000000000007</v>
      </c>
      <c r="Z344">
        <f t="shared" si="16"/>
        <v>73</v>
      </c>
      <c r="AA344" s="6">
        <f t="shared" si="13"/>
        <v>8.6492700000000013</v>
      </c>
      <c r="AB344" s="6">
        <f>Anthropometry[[#This Row],[Upper arm girth - R]]-(PI()*(Anthropometry[[#This Row],[Triceps]]/10))</f>
        <v>29.978761403405066</v>
      </c>
      <c r="AC344" s="6">
        <f>Anthropometry[[#This Row],[Mid-thighs]]-PI()*(Anthropometry[[#This Row],[Thigh]]/10)</f>
        <v>65.617699232420492</v>
      </c>
      <c r="AD344" s="6">
        <f>Anthropometry[[#This Row],[Mid-calf]]-PI()*(Anthropometry[[#This Row],[Calf]]/10)</f>
        <v>35.692478097520471</v>
      </c>
      <c r="AE344" s="6"/>
      <c r="AF344" s="6"/>
    </row>
    <row r="345" spans="1:39" ht="14.25" customHeight="1">
      <c r="A345" t="s">
        <v>48</v>
      </c>
      <c r="B345" s="12">
        <v>44881</v>
      </c>
      <c r="C345" s="14">
        <v>0.32291666666666669</v>
      </c>
      <c r="D345" s="6">
        <v>185.7</v>
      </c>
      <c r="E345">
        <v>90.5</v>
      </c>
      <c r="G345" s="6">
        <f t="shared" si="14"/>
        <v>83.604542549999991</v>
      </c>
      <c r="H345" s="6">
        <f t="shared" si="15"/>
        <v>6.8954574499999994</v>
      </c>
      <c r="K345">
        <v>34.200000000000003</v>
      </c>
      <c r="M345">
        <v>105.7</v>
      </c>
      <c r="N345">
        <v>60.2</v>
      </c>
      <c r="O345" s="6">
        <f>(((4.68*N345)-(2.09*X345))-80.99)</f>
        <v>184.23499999999996</v>
      </c>
      <c r="P345">
        <v>48.7</v>
      </c>
      <c r="Q345">
        <v>40.9</v>
      </c>
      <c r="R345">
        <v>8</v>
      </c>
      <c r="S345">
        <v>9.1999999999999993</v>
      </c>
      <c r="T345">
        <v>3.4</v>
      </c>
      <c r="U345">
        <v>10.6</v>
      </c>
      <c r="V345">
        <v>5</v>
      </c>
      <c r="W345">
        <v>11.6</v>
      </c>
      <c r="X345">
        <v>7.9</v>
      </c>
      <c r="Y345">
        <v>6.2</v>
      </c>
      <c r="Z345">
        <f t="shared" si="16"/>
        <v>61.9</v>
      </c>
      <c r="AA345" s="6">
        <f t="shared" si="13"/>
        <v>7.6192899999999995</v>
      </c>
      <c r="AB345" s="6">
        <f>Anthropometry[[#This Row],[Upper arm girth - R]]-(PI()*(Anthropometry[[#This Row],[Triceps]]/10))</f>
        <v>31.686725877128168</v>
      </c>
      <c r="AC345" s="6">
        <f>Anthropometry[[#This Row],[Mid-thighs]]-PI()*(Anthropometry[[#This Row],[Thigh]]/10)</f>
        <v>57.718141803664068</v>
      </c>
      <c r="AD345" s="6">
        <f>Anthropometry[[#This Row],[Mid-calf]]-PI()*(Anthropometry[[#This Row],[Calf]]/10)</f>
        <v>38.952212554774327</v>
      </c>
      <c r="AE345" s="6"/>
      <c r="AF345" s="6"/>
      <c r="AM345">
        <f>Anthropometry[[#This Row],[DEXA Pelvis (kg)]] + Anthropometry[[#This Row],[ DEXA LLM (kg)]]</f>
        <v>0</v>
      </c>
    </row>
    <row r="346" spans="1:39" ht="14.45">
      <c r="A346" t="s">
        <v>55</v>
      </c>
      <c r="B346" s="12">
        <v>44686</v>
      </c>
      <c r="C346" s="14">
        <v>0.375</v>
      </c>
      <c r="D346" s="6">
        <v>183.8</v>
      </c>
      <c r="E346">
        <v>94.1</v>
      </c>
      <c r="G346" s="6">
        <f t="shared" si="14"/>
        <v>86.079715849999999</v>
      </c>
      <c r="H346" s="6">
        <f t="shared" si="15"/>
        <v>8.0202841500000002</v>
      </c>
      <c r="K346">
        <v>33.700000000000003</v>
      </c>
      <c r="M346">
        <v>108</v>
      </c>
      <c r="N346">
        <v>65</v>
      </c>
      <c r="O346" s="6">
        <f>(((4.68*N345)-(2.09*X345))-80.99)</f>
        <v>184.23499999999996</v>
      </c>
      <c r="P346">
        <v>54.1</v>
      </c>
      <c r="Q346">
        <v>38.200000000000003</v>
      </c>
      <c r="R346">
        <v>11.2</v>
      </c>
      <c r="S346">
        <v>7.5</v>
      </c>
      <c r="T346">
        <v>2.8</v>
      </c>
      <c r="U346">
        <v>6.8</v>
      </c>
      <c r="V346">
        <v>6.8</v>
      </c>
      <c r="W346">
        <v>10.4</v>
      </c>
      <c r="X346">
        <v>11.6</v>
      </c>
      <c r="Y346">
        <v>9</v>
      </c>
      <c r="Z346">
        <f t="shared" si="16"/>
        <v>66.099999999999994</v>
      </c>
      <c r="AA346" s="6">
        <f t="shared" si="13"/>
        <v>8.5231500000000011</v>
      </c>
      <c r="AB346" s="6">
        <f>Anthropometry[[#This Row],[Upper arm girth - R]]-(PI()*(Anthropometry[[#This Row],[Triceps]]/10))</f>
        <v>30.181416227979433</v>
      </c>
      <c r="AC346" s="6">
        <f>Anthropometry[[#This Row],[Mid-thighs]]-PI()*(Anthropometry[[#This Row],[Thigh]]/10)</f>
        <v>61.355752521835839</v>
      </c>
      <c r="AD346" s="6">
        <f>Anthropometry[[#This Row],[Mid-calf]]-PI()*(Anthropometry[[#This Row],[Calf]]/10)</f>
        <v>35.372566611769187</v>
      </c>
      <c r="AE346" s="6"/>
      <c r="AF346" s="6"/>
    </row>
    <row r="347" spans="1:39" ht="14.45">
      <c r="A347" t="s">
        <v>52</v>
      </c>
      <c r="B347" s="12">
        <v>44883</v>
      </c>
      <c r="C347" s="14">
        <v>0.3125</v>
      </c>
      <c r="D347">
        <v>174.5</v>
      </c>
      <c r="E347">
        <v>94.1</v>
      </c>
      <c r="G347" s="6">
        <f t="shared" si="14"/>
        <v>85.061055119999992</v>
      </c>
      <c r="H347" s="6">
        <f t="shared" si="15"/>
        <v>9.0389448800000007</v>
      </c>
      <c r="K347">
        <v>37.1</v>
      </c>
      <c r="M347">
        <v>108.6</v>
      </c>
      <c r="N347" s="6">
        <v>67.599999999999994</v>
      </c>
      <c r="O347" s="6">
        <f>(((4.68*N347)-(2.09*X347))-80.99)</f>
        <v>209.87999999999994</v>
      </c>
      <c r="P347">
        <v>54.35</v>
      </c>
      <c r="Q347">
        <v>41.7</v>
      </c>
      <c r="R347">
        <v>9.9</v>
      </c>
      <c r="S347">
        <v>10.8</v>
      </c>
      <c r="T347">
        <v>6</v>
      </c>
      <c r="U347">
        <v>14.4</v>
      </c>
      <c r="V347">
        <v>7.2</v>
      </c>
      <c r="W347">
        <v>19</v>
      </c>
      <c r="X347">
        <v>12.2</v>
      </c>
      <c r="Y347">
        <v>7.7</v>
      </c>
      <c r="Z347">
        <f t="shared" si="16"/>
        <v>87.200000000000017</v>
      </c>
      <c r="AA347" s="6">
        <f t="shared" si="13"/>
        <v>9.6056800000000013</v>
      </c>
      <c r="AB347" s="6">
        <f>Anthropometry[[#This Row],[Upper arm girth - R]]-(PI()*(Anthropometry[[#This Row],[Triceps]]/10))</f>
        <v>33.989823272946104</v>
      </c>
      <c r="AC347" s="6">
        <f>Anthropometry[[#This Row],[Mid-thighs]]-PI()*(Anthropometry[[#This Row],[Thigh]]/10)</f>
        <v>63.767256962620444</v>
      </c>
      <c r="AD347" s="6">
        <f>Anthropometry[[#This Row],[Mid-calf]]-PI()*(Anthropometry[[#This Row],[Calf]]/10)</f>
        <v>39.28097365673586</v>
      </c>
      <c r="AE347" s="6"/>
      <c r="AF347" s="6"/>
    </row>
    <row r="348" spans="1:39" ht="14.45">
      <c r="A348" t="s">
        <v>48</v>
      </c>
      <c r="B348" s="12">
        <v>44894</v>
      </c>
      <c r="C348" s="14">
        <v>0.32291666666666669</v>
      </c>
      <c r="D348" s="6">
        <v>185.7</v>
      </c>
      <c r="E348">
        <v>91.1</v>
      </c>
      <c r="G348" s="6">
        <f t="shared" si="14"/>
        <v>83.699245529999985</v>
      </c>
      <c r="H348" s="6">
        <f t="shared" si="15"/>
        <v>7.4007544699999999</v>
      </c>
      <c r="K348">
        <v>34.700000000000003</v>
      </c>
      <c r="M348">
        <v>105.4</v>
      </c>
      <c r="N348" s="6">
        <v>59.4</v>
      </c>
      <c r="O348" s="6">
        <f>(((4.68*N348)-(2.09*X348))-80.99)</f>
        <v>180.28199999999993</v>
      </c>
      <c r="P348">
        <v>48.5</v>
      </c>
      <c r="Q348">
        <v>42.5</v>
      </c>
      <c r="R348">
        <v>7.7</v>
      </c>
      <c r="S348">
        <v>10.3</v>
      </c>
      <c r="T348">
        <v>3.6</v>
      </c>
      <c r="U348">
        <v>11.2</v>
      </c>
      <c r="V348">
        <v>7.2</v>
      </c>
      <c r="W348">
        <v>13.1</v>
      </c>
      <c r="X348">
        <v>8</v>
      </c>
      <c r="Y348">
        <v>6.4</v>
      </c>
      <c r="Z348">
        <f t="shared" si="16"/>
        <v>67.5</v>
      </c>
      <c r="AA348" s="6">
        <f t="shared" si="13"/>
        <v>8.1237700000000004</v>
      </c>
      <c r="AB348" s="6">
        <f>Anthropometry[[#This Row],[Upper arm girth - R]]-(PI()*(Anthropometry[[#This Row],[Triceps]]/10))</f>
        <v>32.28097365673586</v>
      </c>
      <c r="AC348" s="6">
        <f>Anthropometry[[#This Row],[Mid-thighs]]-PI()*(Anthropometry[[#This Row],[Thigh]]/10)</f>
        <v>56.886725877128164</v>
      </c>
      <c r="AD348" s="6">
        <f>Anthropometry[[#This Row],[Mid-calf]]-PI()*(Anthropometry[[#This Row],[Calf]]/10)</f>
        <v>40.48938070170253</v>
      </c>
      <c r="AE348" s="6"/>
      <c r="AF348" s="6"/>
      <c r="AG348">
        <v>81.5</v>
      </c>
      <c r="AH348">
        <v>14.3</v>
      </c>
      <c r="AI348">
        <v>74.3</v>
      </c>
      <c r="AJ348">
        <v>13.1</v>
      </c>
      <c r="AK348">
        <v>27.3</v>
      </c>
      <c r="AL348">
        <v>10.5</v>
      </c>
      <c r="AM348">
        <f>Anthropometry[[#This Row],[DEXA Pelvis (kg)]] + Anthropometry[[#This Row],[ DEXA LLM (kg)]]</f>
        <v>37.799999999999997</v>
      </c>
    </row>
    <row r="349" spans="1:39" ht="14.45">
      <c r="A349" t="s">
        <v>52</v>
      </c>
      <c r="B349" s="12">
        <v>44894</v>
      </c>
      <c r="C349" s="14">
        <v>0.29166666666666669</v>
      </c>
      <c r="D349" s="6">
        <v>174.5</v>
      </c>
      <c r="E349">
        <v>93.4</v>
      </c>
      <c r="G349" s="6">
        <f t="shared" si="14"/>
        <v>84.143621019999998</v>
      </c>
      <c r="H349" s="6">
        <f t="shared" si="15"/>
        <v>9.2563789800000009</v>
      </c>
      <c r="K349">
        <v>36.200000000000003</v>
      </c>
      <c r="M349">
        <v>109.6</v>
      </c>
      <c r="N349" s="6">
        <v>67.8</v>
      </c>
      <c r="O349" s="6">
        <f>(((4.68*N349)-(2.09*X349))-80.99)</f>
        <v>211.44299999999998</v>
      </c>
      <c r="P349">
        <v>53.9</v>
      </c>
      <c r="Q349">
        <v>41.8</v>
      </c>
      <c r="R349">
        <v>10.199999999999999</v>
      </c>
      <c r="S349">
        <v>9.4</v>
      </c>
      <c r="T349">
        <v>5</v>
      </c>
      <c r="U349">
        <v>13.1</v>
      </c>
      <c r="V349">
        <v>9.1</v>
      </c>
      <c r="W349">
        <v>21.2</v>
      </c>
      <c r="X349">
        <v>11.9</v>
      </c>
      <c r="Y349">
        <v>7.9</v>
      </c>
      <c r="Z349">
        <f t="shared" si="16"/>
        <v>87.800000000000011</v>
      </c>
      <c r="AA349" s="6">
        <f t="shared" si="13"/>
        <v>9.9104700000000001</v>
      </c>
      <c r="AB349" s="6">
        <f>Anthropometry[[#This Row],[Upper arm girth - R]]-(PI()*(Anthropometry[[#This Row],[Triceps]]/10))</f>
        <v>32.995575493338414</v>
      </c>
      <c r="AC349" s="6">
        <f>Anthropometry[[#This Row],[Mid-thighs]]-PI()*(Anthropometry[[#This Row],[Thigh]]/10)</f>
        <v>64.061504742228138</v>
      </c>
      <c r="AD349" s="6">
        <f>Anthropometry[[#This Row],[Mid-calf]]-PI()*(Anthropometry[[#This Row],[Calf]]/10)</f>
        <v>39.318141803664062</v>
      </c>
      <c r="AE349" s="6"/>
      <c r="AF349" s="6"/>
    </row>
    <row r="350" spans="1:39" ht="14.45">
      <c r="A350" t="s">
        <v>55</v>
      </c>
      <c r="B350" s="12">
        <v>44691</v>
      </c>
      <c r="C350" s="14">
        <v>0.3125</v>
      </c>
      <c r="D350" s="6">
        <v>183.8</v>
      </c>
      <c r="E350">
        <v>90.3</v>
      </c>
      <c r="G350" s="6">
        <v>83.10659364</v>
      </c>
      <c r="H350" s="6">
        <v>7.19340636</v>
      </c>
      <c r="K350">
        <v>32.799999999999997</v>
      </c>
      <c r="M350">
        <v>107.1</v>
      </c>
      <c r="N350">
        <v>67</v>
      </c>
      <c r="O350" s="6">
        <f>(((4.68*N349)-(2.09*X349))-80.99)</f>
        <v>211.44299999999998</v>
      </c>
      <c r="P350">
        <v>53</v>
      </c>
      <c r="Q350">
        <v>37.4</v>
      </c>
      <c r="R350">
        <v>7.8</v>
      </c>
      <c r="S350">
        <v>7.8</v>
      </c>
      <c r="T350">
        <v>3.4</v>
      </c>
      <c r="U350">
        <v>6.4</v>
      </c>
      <c r="V350">
        <v>6</v>
      </c>
      <c r="W350">
        <v>13.4</v>
      </c>
      <c r="X350">
        <v>10</v>
      </c>
      <c r="Y350">
        <v>6.2</v>
      </c>
      <c r="Z350">
        <f t="shared" si="16"/>
        <v>61</v>
      </c>
      <c r="AA350" s="6">
        <v>7.9661200000000001</v>
      </c>
      <c r="AB350" s="6">
        <f>Anthropometry[[#This Row],[Upper arm girth - R]]-(PI()*(Anthropometry[[#This Row],[Triceps]]/10))</f>
        <v>30.349557730199958</v>
      </c>
      <c r="AC350" s="6">
        <f>Anthropometry[[#This Row],[Mid-thighs]]-PI()*(Anthropometry[[#This Row],[Thigh]]/10)</f>
        <v>63.858407346410203</v>
      </c>
      <c r="AD350" s="6">
        <f>Anthropometry[[#This Row],[Mid-calf]]-PI()*(Anthropometry[[#This Row],[Calf]]/10)</f>
        <v>35.452212554774327</v>
      </c>
      <c r="AE350" s="6"/>
      <c r="AF350" s="6"/>
    </row>
    <row r="351" spans="1:39" ht="14.45">
      <c r="A351" t="s">
        <v>51</v>
      </c>
      <c r="B351" s="12">
        <v>44894</v>
      </c>
      <c r="C351" s="14">
        <v>0.34375</v>
      </c>
      <c r="D351" s="6">
        <v>170.6</v>
      </c>
      <c r="E351">
        <v>70.099999999999994</v>
      </c>
      <c r="F351" s="6">
        <f>(E351/((D351/100)*(D351/100)))</f>
        <v>24.085738356727308</v>
      </c>
      <c r="G351" s="6">
        <f t="shared" ref="G351:G368" si="17">E351/100*(100-AA351)</f>
        <v>59.788205879999992</v>
      </c>
      <c r="H351" s="6">
        <f t="shared" ref="H351:H368" si="18">E351/100*AA351</f>
        <v>10.311794119999998</v>
      </c>
      <c r="K351">
        <v>30.5</v>
      </c>
      <c r="M351">
        <v>102.7</v>
      </c>
      <c r="N351" s="6">
        <v>58.3</v>
      </c>
      <c r="O351" s="6">
        <f>(((4.68*N351)-(2.09*X351))-80.99)</f>
        <v>154.44299999999998</v>
      </c>
      <c r="P351">
        <v>47</v>
      </c>
      <c r="Q351">
        <v>36.700000000000003</v>
      </c>
      <c r="R351">
        <v>13.8</v>
      </c>
      <c r="S351">
        <v>10.1</v>
      </c>
      <c r="T351">
        <v>6</v>
      </c>
      <c r="U351">
        <v>11</v>
      </c>
      <c r="V351">
        <v>7.4</v>
      </c>
      <c r="W351">
        <v>14.4</v>
      </c>
      <c r="X351">
        <v>17.899999999999999</v>
      </c>
      <c r="Y351">
        <v>8.3000000000000007</v>
      </c>
      <c r="Z351">
        <f t="shared" si="16"/>
        <v>88.899999999999991</v>
      </c>
      <c r="AA351" s="6">
        <f>((0.1548*SUM(R351:S351,V351:Y351))+3.58)</f>
        <v>14.710119999999998</v>
      </c>
      <c r="AB351" s="6">
        <f>Anthropometry[[#This Row],[Upper arm girth - R]]-(PI()*(Anthropometry[[#This Row],[Triceps]]/10))</f>
        <v>26.164602138046085</v>
      </c>
      <c r="AC351" s="6">
        <f>Anthropometry[[#This Row],[Mid-thighs]]-PI()*(Anthropometry[[#This Row],[Thigh]]/10)</f>
        <v>52.676549150074266</v>
      </c>
      <c r="AD351" s="6">
        <f>Anthropometry[[#This Row],[Mid-calf]]-PI()*(Anthropometry[[#This Row],[Calf]]/10)</f>
        <v>34.092478097520477</v>
      </c>
      <c r="AE351" s="6"/>
      <c r="AF351" s="6"/>
      <c r="AG351">
        <v>74.599999999999994</v>
      </c>
      <c r="AH351">
        <v>21.6</v>
      </c>
      <c r="AI351">
        <v>52.1</v>
      </c>
      <c r="AJ351">
        <v>15.1</v>
      </c>
      <c r="AK351">
        <v>19.600000000000001</v>
      </c>
      <c r="AL351">
        <v>8.6</v>
      </c>
      <c r="AM351">
        <v>28.200000000000003</v>
      </c>
    </row>
    <row r="352" spans="1:39" ht="14.45">
      <c r="A352" t="s">
        <v>55</v>
      </c>
      <c r="B352" s="12">
        <v>44698</v>
      </c>
      <c r="C352" s="14">
        <v>0.375</v>
      </c>
      <c r="D352" s="6">
        <v>183.8</v>
      </c>
      <c r="E352">
        <v>92.6</v>
      </c>
      <c r="G352" s="6">
        <f t="shared" si="17"/>
        <v>85.106585759999987</v>
      </c>
      <c r="H352" s="6">
        <f t="shared" si="18"/>
        <v>7.4934142399999999</v>
      </c>
      <c r="K352">
        <v>33.5</v>
      </c>
      <c r="M352">
        <v>108.6</v>
      </c>
      <c r="N352">
        <v>64.5</v>
      </c>
      <c r="O352" s="6">
        <f>(((4.68*N351)-(2.09*X351))-80.99)</f>
        <v>154.44299999999998</v>
      </c>
      <c r="P352">
        <v>53</v>
      </c>
      <c r="Q352">
        <v>38.200000000000003</v>
      </c>
      <c r="R352">
        <v>10.199999999999999</v>
      </c>
      <c r="S352">
        <v>7.6</v>
      </c>
      <c r="T352">
        <v>3.4</v>
      </c>
      <c r="U352">
        <v>6.6</v>
      </c>
      <c r="V352">
        <v>6.1</v>
      </c>
      <c r="W352">
        <v>9.5</v>
      </c>
      <c r="X352">
        <v>10.6</v>
      </c>
      <c r="Y352">
        <v>8.4</v>
      </c>
      <c r="Z352">
        <f t="shared" si="16"/>
        <v>62.4</v>
      </c>
      <c r="AA352" s="6">
        <f>((0.1051*SUM(R352:S352,V352:Y352))+2.585)</f>
        <v>8.0922400000000003</v>
      </c>
      <c r="AB352" s="6">
        <f>Anthropometry[[#This Row],[Upper arm girth - R]]-(PI()*(Anthropometry[[#This Row],[Triceps]]/10))</f>
        <v>30.295575493338411</v>
      </c>
      <c r="AC352" s="6">
        <f>Anthropometry[[#This Row],[Mid-thighs]]-PI()*(Anthropometry[[#This Row],[Thigh]]/10)</f>
        <v>61.16991178719482</v>
      </c>
      <c r="AD352" s="6">
        <f>Anthropometry[[#This Row],[Mid-calf]]-PI()*(Anthropometry[[#This Row],[Calf]]/10)</f>
        <v>35.561062170984577</v>
      </c>
      <c r="AE352" s="6"/>
      <c r="AF352" s="6"/>
    </row>
    <row r="353" spans="1:39" ht="14.45">
      <c r="A353" t="s">
        <v>55</v>
      </c>
      <c r="B353" s="12">
        <v>44802</v>
      </c>
      <c r="C353" s="14">
        <v>0.41666666666666702</v>
      </c>
      <c r="D353" s="6">
        <v>184.8</v>
      </c>
      <c r="E353">
        <v>91</v>
      </c>
      <c r="G353" s="6">
        <f t="shared" si="17"/>
        <v>83.902000000000001</v>
      </c>
      <c r="H353" s="6">
        <f t="shared" si="18"/>
        <v>7.0979999999999999</v>
      </c>
      <c r="K353">
        <v>31.5</v>
      </c>
      <c r="M353">
        <v>106</v>
      </c>
      <c r="N353">
        <v>64.5</v>
      </c>
      <c r="O353" s="6">
        <f>(((4.68*N352)-(2.09*X352))-80.99)</f>
        <v>198.71599999999995</v>
      </c>
      <c r="P353">
        <v>52.6</v>
      </c>
      <c r="Q353">
        <v>37.5</v>
      </c>
      <c r="R353">
        <v>8.3000000000000007</v>
      </c>
      <c r="S353">
        <v>7.6</v>
      </c>
      <c r="T353">
        <v>2.9</v>
      </c>
      <c r="U353">
        <v>8</v>
      </c>
      <c r="V353">
        <v>5.9</v>
      </c>
      <c r="W353">
        <v>10.199999999999999</v>
      </c>
      <c r="X353">
        <v>9.6</v>
      </c>
      <c r="Y353">
        <v>8</v>
      </c>
      <c r="Z353">
        <f t="shared" si="16"/>
        <v>60.500000000000007</v>
      </c>
      <c r="AA353" s="6">
        <v>7.8</v>
      </c>
      <c r="AB353" s="6">
        <f>Anthropometry[[#This Row],[Upper arm girth - R]]-(PI()*(Anthropometry[[#This Row],[Triceps]]/10))</f>
        <v>28.89247809752047</v>
      </c>
      <c r="AC353" s="6">
        <f>Anthropometry[[#This Row],[Mid-thighs]]-PI()*(Anthropometry[[#This Row],[Thigh]]/10)</f>
        <v>61.484071052553801</v>
      </c>
      <c r="AD353" s="6">
        <f>Anthropometry[[#This Row],[Mid-calf]]-PI()*(Anthropometry[[#This Row],[Calf]]/10)</f>
        <v>34.986725877128166</v>
      </c>
      <c r="AE353" s="6"/>
      <c r="AF353" s="6"/>
    </row>
    <row r="354" spans="1:39" ht="14.45">
      <c r="A354" t="s">
        <v>52</v>
      </c>
      <c r="B354" s="12">
        <v>44904</v>
      </c>
      <c r="C354" s="14">
        <v>0.3125</v>
      </c>
      <c r="D354" s="6">
        <v>174.5</v>
      </c>
      <c r="E354">
        <v>92.6</v>
      </c>
      <c r="G354" s="6">
        <f t="shared" si="17"/>
        <v>83.325582179999998</v>
      </c>
      <c r="H354" s="6">
        <f t="shared" si="18"/>
        <v>9.27441782</v>
      </c>
      <c r="K354">
        <v>36.700000000000003</v>
      </c>
      <c r="M354">
        <v>109.6</v>
      </c>
      <c r="N354" s="6">
        <v>67.599999999999994</v>
      </c>
      <c r="O354" s="6">
        <f t="shared" ref="O354:O360" si="19">(((4.68*N354)-(2.09*X354))-80.99)</f>
        <v>209.04399999999993</v>
      </c>
      <c r="P354">
        <v>54.6</v>
      </c>
      <c r="Q354">
        <v>42</v>
      </c>
      <c r="R354">
        <v>10.199999999999999</v>
      </c>
      <c r="S354">
        <v>9.6</v>
      </c>
      <c r="T354">
        <v>5.4</v>
      </c>
      <c r="U354">
        <v>12.5</v>
      </c>
      <c r="V354">
        <v>8</v>
      </c>
      <c r="W354">
        <v>21</v>
      </c>
      <c r="X354">
        <v>12.6</v>
      </c>
      <c r="Y354">
        <v>9.3000000000000007</v>
      </c>
      <c r="Z354">
        <f t="shared" si="16"/>
        <v>88.59999999999998</v>
      </c>
      <c r="AA354" s="6">
        <f t="shared" ref="AA354:AA360" si="20">((0.1051*SUM(R354:S354,V354:Y354))+2.585)</f>
        <v>10.01557</v>
      </c>
      <c r="AB354" s="6">
        <f>Anthropometry[[#This Row],[Upper arm girth - R]]-(PI()*(Anthropometry[[#This Row],[Triceps]]/10))</f>
        <v>33.495575493338414</v>
      </c>
      <c r="AC354" s="6">
        <f>Anthropometry[[#This Row],[Mid-thighs]]-PI()*(Anthropometry[[#This Row],[Thigh]]/10)</f>
        <v>63.641593256476853</v>
      </c>
      <c r="AD354" s="6">
        <f>Anthropometry[[#This Row],[Mid-calf]]-PI()*(Anthropometry[[#This Row],[Calf]]/10)</f>
        <v>39.078318832161493</v>
      </c>
      <c r="AE354" s="6"/>
      <c r="AF354" s="6"/>
    </row>
    <row r="355" spans="1:39" ht="14.45">
      <c r="A355" t="s">
        <v>48</v>
      </c>
      <c r="B355" s="12">
        <v>44909</v>
      </c>
      <c r="C355" s="14">
        <v>0.32291666666666669</v>
      </c>
      <c r="D355" s="6">
        <v>185.7</v>
      </c>
      <c r="E355">
        <v>91.8</v>
      </c>
      <c r="G355" s="6">
        <f t="shared" si="17"/>
        <v>84.17836007999999</v>
      </c>
      <c r="H355" s="6">
        <f t="shared" si="18"/>
        <v>7.6216399199999998</v>
      </c>
      <c r="K355">
        <v>35.1</v>
      </c>
      <c r="M355">
        <v>106.4</v>
      </c>
      <c r="N355">
        <v>60.5</v>
      </c>
      <c r="O355" s="6">
        <f t="shared" si="19"/>
        <v>185.012</v>
      </c>
      <c r="P355">
        <v>49.1</v>
      </c>
      <c r="Q355">
        <v>40.6</v>
      </c>
      <c r="R355">
        <v>8.6</v>
      </c>
      <c r="S355">
        <v>10.1</v>
      </c>
      <c r="T355">
        <v>3.4</v>
      </c>
      <c r="U355">
        <v>11.8</v>
      </c>
      <c r="V355">
        <v>7</v>
      </c>
      <c r="W355">
        <v>13.8</v>
      </c>
      <c r="X355">
        <v>8.1999999999999993</v>
      </c>
      <c r="Y355">
        <v>6.7</v>
      </c>
      <c r="Z355">
        <f t="shared" si="16"/>
        <v>69.600000000000009</v>
      </c>
      <c r="AA355" s="6">
        <f t="shared" si="20"/>
        <v>8.3024400000000007</v>
      </c>
      <c r="AB355" s="6">
        <f>Anthropometry[[#This Row],[Upper arm girth - R]]-(PI()*(Anthropometry[[#This Row],[Triceps]]/10))</f>
        <v>32.398230317912777</v>
      </c>
      <c r="AC355" s="6">
        <f>Anthropometry[[#This Row],[Mid-thighs]]-PI()*(Anthropometry[[#This Row],[Thigh]]/10)</f>
        <v>57.923894024056366</v>
      </c>
      <c r="AD355" s="6">
        <f>Anthropometry[[#This Row],[Mid-calf]]-PI()*(Anthropometry[[#This Row],[Calf]]/10)</f>
        <v>38.49513292209484</v>
      </c>
      <c r="AE355" s="6"/>
      <c r="AF355" s="6"/>
      <c r="AM355">
        <f>Anthropometry[[#This Row],[DEXA Pelvis (kg)]] + Anthropometry[[#This Row],[ DEXA LLM (kg)]]</f>
        <v>0</v>
      </c>
    </row>
    <row r="356" spans="1:39" ht="14.45">
      <c r="A356" t="s">
        <v>52</v>
      </c>
      <c r="B356" s="12">
        <v>44911</v>
      </c>
      <c r="C356" s="14">
        <v>0.33333333333333331</v>
      </c>
      <c r="D356" s="6">
        <v>174.5</v>
      </c>
      <c r="E356">
        <v>93.3</v>
      </c>
      <c r="G356" s="6">
        <f t="shared" si="17"/>
        <v>83.54362832999999</v>
      </c>
      <c r="H356" s="6">
        <f t="shared" si="18"/>
        <v>9.7563716700000001</v>
      </c>
      <c r="K356">
        <v>37.200000000000003</v>
      </c>
      <c r="M356">
        <v>108.1</v>
      </c>
      <c r="N356">
        <v>67</v>
      </c>
      <c r="O356" s="6">
        <f t="shared" si="19"/>
        <v>204.98199999999997</v>
      </c>
      <c r="P356">
        <v>54</v>
      </c>
      <c r="Q356">
        <v>42.1</v>
      </c>
      <c r="R356">
        <v>9.5</v>
      </c>
      <c r="S356">
        <v>10.6</v>
      </c>
      <c r="T356">
        <v>5.2</v>
      </c>
      <c r="U356">
        <v>12.7</v>
      </c>
      <c r="V356">
        <v>8</v>
      </c>
      <c r="W356">
        <v>24.4</v>
      </c>
      <c r="X356">
        <v>13.2</v>
      </c>
      <c r="Y356">
        <v>9.1999999999999993</v>
      </c>
      <c r="Z356">
        <f t="shared" si="16"/>
        <v>92.800000000000011</v>
      </c>
      <c r="AA356" s="6">
        <f t="shared" si="20"/>
        <v>10.456990000000001</v>
      </c>
      <c r="AB356" s="6">
        <f>Anthropometry[[#This Row],[Upper arm girth - R]]-(PI()*(Anthropometry[[#This Row],[Triceps]]/10))</f>
        <v>34.215486979089697</v>
      </c>
      <c r="AC356" s="6">
        <f>Anthropometry[[#This Row],[Mid-thighs]]-PI()*(Anthropometry[[#This Row],[Thigh]]/10)</f>
        <v>62.853097697261475</v>
      </c>
      <c r="AD356" s="6">
        <f>Anthropometry[[#This Row],[Mid-calf]]-PI()*(Anthropometry[[#This Row],[Calf]]/10)</f>
        <v>39.209734758697394</v>
      </c>
      <c r="AE356" s="6"/>
      <c r="AF356" s="6"/>
    </row>
    <row r="357" spans="1:39" ht="15" customHeight="1">
      <c r="A357" t="s">
        <v>48</v>
      </c>
      <c r="B357" s="12">
        <v>44937</v>
      </c>
      <c r="C357" s="14">
        <v>0.32291666666666669</v>
      </c>
      <c r="D357" s="6">
        <v>185.7</v>
      </c>
      <c r="E357">
        <v>91.7</v>
      </c>
      <c r="G357" s="6">
        <f t="shared" si="17"/>
        <v>83.672242710000006</v>
      </c>
      <c r="H357" s="6">
        <f t="shared" si="18"/>
        <v>8.0277572900000003</v>
      </c>
      <c r="K357">
        <v>34.799999999999997</v>
      </c>
      <c r="M357">
        <v>104.7</v>
      </c>
      <c r="N357">
        <v>60.9</v>
      </c>
      <c r="O357" s="6">
        <f t="shared" si="19"/>
        <v>185.42099999999999</v>
      </c>
      <c r="P357">
        <v>48.8</v>
      </c>
      <c r="Q357">
        <v>40.700000000000003</v>
      </c>
      <c r="R357">
        <v>8.9</v>
      </c>
      <c r="S357">
        <v>9.3000000000000007</v>
      </c>
      <c r="T357">
        <v>3.8</v>
      </c>
      <c r="U357">
        <v>12.2</v>
      </c>
      <c r="V357">
        <v>8.8000000000000007</v>
      </c>
      <c r="W357">
        <v>15.6</v>
      </c>
      <c r="X357">
        <v>8.9</v>
      </c>
      <c r="Y357">
        <v>7.2</v>
      </c>
      <c r="Z357">
        <f t="shared" si="16"/>
        <v>74.7</v>
      </c>
      <c r="AA357" s="6">
        <f t="shared" si="20"/>
        <v>8.7543699999999998</v>
      </c>
      <c r="AB357" s="6">
        <f>Anthropometry[[#This Row],[Upper arm girth - R]]-(PI()*(Anthropometry[[#This Row],[Triceps]]/10))</f>
        <v>32.003982538305081</v>
      </c>
      <c r="AC357" s="6">
        <f>Anthropometry[[#This Row],[Mid-thighs]]-PI()*(Anthropometry[[#This Row],[Thigh]]/10)</f>
        <v>58.103982538305083</v>
      </c>
      <c r="AD357" s="6">
        <f>Anthropometry[[#This Row],[Mid-calf]]-PI()*(Anthropometry[[#This Row],[Calf]]/10)</f>
        <v>38.43805328941535</v>
      </c>
      <c r="AE357" s="6"/>
      <c r="AF357" s="6"/>
      <c r="AM357">
        <f>Anthropometry[[#This Row],[DEXA Pelvis (kg)]] + Anthropometry[[#This Row],[ DEXA LLM (kg)]]</f>
        <v>0</v>
      </c>
    </row>
    <row r="358" spans="1:39" ht="15" customHeight="1">
      <c r="A358" t="s">
        <v>48</v>
      </c>
      <c r="B358" s="12">
        <v>44937</v>
      </c>
      <c r="C358" s="14">
        <v>0.32291666666666669</v>
      </c>
      <c r="D358" s="6">
        <v>185.7</v>
      </c>
      <c r="E358">
        <v>91.7</v>
      </c>
      <c r="G358" s="6">
        <f t="shared" si="17"/>
        <v>83.672242710000006</v>
      </c>
      <c r="H358" s="6">
        <f t="shared" si="18"/>
        <v>8.0277572900000003</v>
      </c>
      <c r="K358">
        <v>34.799999999999997</v>
      </c>
      <c r="M358">
        <v>104.7</v>
      </c>
      <c r="N358">
        <v>60.9</v>
      </c>
      <c r="O358" s="6">
        <f t="shared" si="19"/>
        <v>185.42099999999999</v>
      </c>
      <c r="P358">
        <v>48.8</v>
      </c>
      <c r="Q358">
        <v>40.700000000000003</v>
      </c>
      <c r="R358">
        <v>8.9</v>
      </c>
      <c r="S358">
        <v>9.3000000000000007</v>
      </c>
      <c r="T358">
        <v>3.8</v>
      </c>
      <c r="U358">
        <v>12.2</v>
      </c>
      <c r="V358">
        <v>8.8000000000000007</v>
      </c>
      <c r="W358">
        <v>15.6</v>
      </c>
      <c r="X358">
        <v>8.9</v>
      </c>
      <c r="Y358">
        <v>7.2</v>
      </c>
      <c r="Z358">
        <f t="shared" si="16"/>
        <v>74.7</v>
      </c>
      <c r="AA358" s="6">
        <f t="shared" si="20"/>
        <v>8.7543699999999998</v>
      </c>
      <c r="AB358" s="6">
        <f>Anthropometry[[#This Row],[Upper arm girth - R]]-(PI()*(Anthropometry[[#This Row],[Triceps]]/10))</f>
        <v>32.003982538305081</v>
      </c>
      <c r="AC358" s="6">
        <f>Anthropometry[[#This Row],[Mid-thighs]]-PI()*(Anthropometry[[#This Row],[Thigh]]/10)</f>
        <v>58.103982538305083</v>
      </c>
      <c r="AD358" s="6">
        <f>Anthropometry[[#This Row],[Mid-calf]]-PI()*(Anthropometry[[#This Row],[Calf]]/10)</f>
        <v>38.43805328941535</v>
      </c>
      <c r="AE358" s="6"/>
      <c r="AF358" s="6"/>
      <c r="AM358">
        <f>Anthropometry[[#This Row],[DEXA Pelvis (kg)]] + Anthropometry[[#This Row],[ DEXA LLM (kg)]]</f>
        <v>0</v>
      </c>
    </row>
    <row r="359" spans="1:39" ht="15" customHeight="1">
      <c r="A359" t="s">
        <v>52</v>
      </c>
      <c r="B359" s="12">
        <v>44939</v>
      </c>
      <c r="C359" s="14">
        <v>0.32291666666666669</v>
      </c>
      <c r="D359" s="6">
        <v>174.5</v>
      </c>
      <c r="E359">
        <v>91.3</v>
      </c>
      <c r="G359" s="6">
        <f t="shared" si="17"/>
        <v>82.376484079999983</v>
      </c>
      <c r="H359" s="6">
        <f t="shared" si="18"/>
        <v>8.9235159199999998</v>
      </c>
      <c r="K359">
        <v>36.200000000000003</v>
      </c>
      <c r="M359">
        <v>108.2</v>
      </c>
      <c r="N359">
        <v>66.400000000000006</v>
      </c>
      <c r="O359" s="6">
        <f t="shared" si="19"/>
        <v>201.96499999999997</v>
      </c>
      <c r="P359">
        <v>53.7</v>
      </c>
      <c r="Q359">
        <v>41.5</v>
      </c>
      <c r="R359">
        <v>9.6999999999999993</v>
      </c>
      <c r="S359">
        <v>9.1999999999999993</v>
      </c>
      <c r="T359">
        <v>5.4</v>
      </c>
      <c r="U359">
        <v>12.3</v>
      </c>
      <c r="V359">
        <v>7.8</v>
      </c>
      <c r="W359">
        <v>20.6</v>
      </c>
      <c r="X359">
        <v>13.3</v>
      </c>
      <c r="Y359">
        <v>7.8</v>
      </c>
      <c r="Z359">
        <f t="shared" si="16"/>
        <v>86.1</v>
      </c>
      <c r="AA359" s="6">
        <f t="shared" si="20"/>
        <v>9.7738399999999999</v>
      </c>
      <c r="AB359" s="6">
        <f>Anthropometry[[#This Row],[Upper arm girth - R]]-(PI()*(Anthropometry[[#This Row],[Triceps]]/10))</f>
        <v>33.152655126017905</v>
      </c>
      <c r="AC359" s="6">
        <f>Anthropometry[[#This Row],[Mid-thighs]]-PI()*(Anthropometry[[#This Row],[Thigh]]/10)</f>
        <v>62.221681770725581</v>
      </c>
      <c r="AD359" s="6">
        <f>Anthropometry[[#This Row],[Mid-calf]]-PI()*(Anthropometry[[#This Row],[Calf]]/10)</f>
        <v>39.049557730199965</v>
      </c>
      <c r="AE359" s="6"/>
      <c r="AF359" s="6"/>
    </row>
    <row r="360" spans="1:39" ht="15" customHeight="1">
      <c r="A360" t="s">
        <v>52</v>
      </c>
      <c r="B360" s="12">
        <v>44939</v>
      </c>
      <c r="C360" s="14">
        <v>0.32291666666666669</v>
      </c>
      <c r="D360" s="6">
        <v>174.5</v>
      </c>
      <c r="E360">
        <v>91.3</v>
      </c>
      <c r="G360" s="6">
        <f t="shared" si="17"/>
        <v>82.376484079999983</v>
      </c>
      <c r="H360" s="6">
        <f t="shared" si="18"/>
        <v>8.9235159199999998</v>
      </c>
      <c r="K360">
        <v>36.200000000000003</v>
      </c>
      <c r="M360">
        <v>108.2</v>
      </c>
      <c r="N360">
        <v>66.400000000000006</v>
      </c>
      <c r="O360" s="6">
        <f t="shared" si="19"/>
        <v>201.96499999999997</v>
      </c>
      <c r="P360">
        <v>53.7</v>
      </c>
      <c r="Q360">
        <v>41.5</v>
      </c>
      <c r="R360">
        <v>9.6999999999999993</v>
      </c>
      <c r="S360">
        <v>9.1999999999999993</v>
      </c>
      <c r="T360">
        <v>5.4</v>
      </c>
      <c r="U360">
        <v>12.3</v>
      </c>
      <c r="V360">
        <v>7.8</v>
      </c>
      <c r="W360">
        <v>20.6</v>
      </c>
      <c r="X360">
        <v>13.3</v>
      </c>
      <c r="Y360">
        <v>7.8</v>
      </c>
      <c r="Z360">
        <f t="shared" si="16"/>
        <v>86.1</v>
      </c>
      <c r="AA360" s="6">
        <f t="shared" si="20"/>
        <v>9.7738399999999999</v>
      </c>
      <c r="AB360" s="6">
        <f>Anthropometry[[#This Row],[Upper arm girth - R]]-(PI()*(Anthropometry[[#This Row],[Triceps]]/10))</f>
        <v>33.152655126017905</v>
      </c>
      <c r="AC360" s="6">
        <f>Anthropometry[[#This Row],[Mid-thighs]]-PI()*(Anthropometry[[#This Row],[Thigh]]/10)</f>
        <v>62.221681770725581</v>
      </c>
      <c r="AD360" s="6">
        <f>Anthropometry[[#This Row],[Mid-calf]]-PI()*(Anthropometry[[#This Row],[Calf]]/10)</f>
        <v>39.049557730199965</v>
      </c>
      <c r="AE360" s="6"/>
      <c r="AF360" s="6"/>
    </row>
    <row r="361" spans="1:39" ht="15" customHeight="1">
      <c r="A361" t="s">
        <v>55</v>
      </c>
      <c r="B361" s="12">
        <v>44853</v>
      </c>
      <c r="C361" s="14">
        <v>0.3125</v>
      </c>
      <c r="D361" s="6">
        <v>183</v>
      </c>
      <c r="E361">
        <v>91.2</v>
      </c>
      <c r="G361" s="6">
        <f t="shared" si="17"/>
        <v>83.743196159999997</v>
      </c>
      <c r="H361" s="6">
        <f t="shared" si="18"/>
        <v>7.456803840000001</v>
      </c>
      <c r="K361">
        <v>33.4</v>
      </c>
      <c r="M361">
        <v>106.7</v>
      </c>
      <c r="N361">
        <v>64.8</v>
      </c>
      <c r="O361" s="6">
        <f>(((4.68*N360)-(2.09*X360))-80.99)</f>
        <v>201.96499999999997</v>
      </c>
      <c r="P361">
        <v>51.4</v>
      </c>
      <c r="Q361">
        <v>37.4</v>
      </c>
      <c r="R361">
        <v>8.3000000000000007</v>
      </c>
      <c r="S361">
        <v>8</v>
      </c>
      <c r="T361">
        <v>3.6</v>
      </c>
      <c r="U361">
        <v>7.8</v>
      </c>
      <c r="V361">
        <v>6.2</v>
      </c>
      <c r="W361">
        <v>13</v>
      </c>
      <c r="X361">
        <v>10.7</v>
      </c>
      <c r="Y361">
        <v>7</v>
      </c>
      <c r="Z361">
        <f t="shared" si="16"/>
        <v>64.600000000000009</v>
      </c>
      <c r="AA361" s="6">
        <f>((0.1051*SUM(Anthropometry[[#This Row],[Triceps]:[Subscapular]],Anthropometry[[#This Row],[Supraspinale]:[Calf]]))+2.585)</f>
        <v>8.1763200000000005</v>
      </c>
      <c r="AB361" s="6">
        <f>Anthropometry[[#This Row],[Upper arm girth - R]]-(PI()*(Anthropometry[[#This Row],[Triceps]]/10))</f>
        <v>30.792478097520469</v>
      </c>
      <c r="AC361" s="6">
        <f>Anthropometry[[#This Row],[Mid-thighs]]-PI()*(Anthropometry[[#This Row],[Thigh]]/10)</f>
        <v>61.438495860658918</v>
      </c>
      <c r="AD361" s="6">
        <f>Anthropometry[[#This Row],[Mid-calf]]-PI()*(Anthropometry[[#This Row],[Calf]]/10)</f>
        <v>35.200885142487145</v>
      </c>
      <c r="AE361" s="6"/>
      <c r="AF361" s="6"/>
    </row>
    <row r="362" spans="1:39" ht="15" customHeight="1">
      <c r="A362" t="s">
        <v>55</v>
      </c>
      <c r="B362" s="12">
        <v>44867</v>
      </c>
      <c r="C362" s="14">
        <v>0.3125</v>
      </c>
      <c r="D362" s="6">
        <v>183</v>
      </c>
      <c r="E362">
        <v>93.4</v>
      </c>
      <c r="G362" s="6">
        <f t="shared" si="17"/>
        <v>85.694602740000008</v>
      </c>
      <c r="H362" s="6">
        <f t="shared" si="18"/>
        <v>7.7053972600000007</v>
      </c>
      <c r="K362">
        <v>33.200000000000003</v>
      </c>
      <c r="M362">
        <v>107.2</v>
      </c>
      <c r="N362">
        <v>64.5</v>
      </c>
      <c r="O362" s="6">
        <f t="shared" ref="O362:O385" si="21">(((4.68*N362)-(2.09*X362))-80.99)</f>
        <v>198.08899999999994</v>
      </c>
      <c r="P362">
        <v>52.2</v>
      </c>
      <c r="Q362">
        <v>37.799999999999997</v>
      </c>
      <c r="R362">
        <v>8.8000000000000007</v>
      </c>
      <c r="S362">
        <v>8.1999999999999993</v>
      </c>
      <c r="T362">
        <v>3.4</v>
      </c>
      <c r="U362">
        <v>8</v>
      </c>
      <c r="V362">
        <v>6.4</v>
      </c>
      <c r="W362">
        <v>12.6</v>
      </c>
      <c r="X362">
        <v>10.9</v>
      </c>
      <c r="Y362">
        <v>7</v>
      </c>
      <c r="Z362">
        <f t="shared" si="16"/>
        <v>65.3</v>
      </c>
      <c r="AA362" s="6">
        <f>((0.1051*SUM(Anthropometry[[#This Row],[Triceps]:[Subscapular]],Anthropometry[[#This Row],[Supraspinale]:[Calf]]))+2.585)</f>
        <v>8.2498900000000006</v>
      </c>
      <c r="AB362" s="6">
        <f>Anthropometry[[#This Row],[Upper arm girth - R]]-(PI()*(Anthropometry[[#This Row],[Triceps]]/10))</f>
        <v>30.435398464840986</v>
      </c>
      <c r="AC362" s="6">
        <f>Anthropometry[[#This Row],[Mid-thighs]]-PI()*(Anthropometry[[#This Row],[Thigh]]/10)</f>
        <v>61.075664007587122</v>
      </c>
      <c r="AD362" s="6">
        <f>Anthropometry[[#This Row],[Mid-calf]]-PI()*(Anthropometry[[#This Row],[Calf]]/10)</f>
        <v>35.600885142487144</v>
      </c>
      <c r="AE362" s="6"/>
      <c r="AF362" s="6"/>
    </row>
    <row r="363" spans="1:39" ht="15" customHeight="1">
      <c r="A363" t="s">
        <v>48</v>
      </c>
      <c r="B363" s="12">
        <v>44951</v>
      </c>
      <c r="C363" s="14">
        <v>0.32291666666666669</v>
      </c>
      <c r="D363" s="6">
        <v>185.7</v>
      </c>
      <c r="E363">
        <v>92.1</v>
      </c>
      <c r="G363" s="6">
        <f t="shared" si="17"/>
        <v>84.124342619999993</v>
      </c>
      <c r="H363" s="6">
        <f t="shared" si="18"/>
        <v>7.9756573800000004</v>
      </c>
      <c r="K363">
        <v>34.5</v>
      </c>
      <c r="M363">
        <v>107.4</v>
      </c>
      <c r="N363">
        <v>60.1</v>
      </c>
      <c r="O363" s="6">
        <f t="shared" si="21"/>
        <v>182.30399999999997</v>
      </c>
      <c r="P363">
        <v>49.6</v>
      </c>
      <c r="Q363">
        <v>40.700000000000003</v>
      </c>
      <c r="R363">
        <v>8.8000000000000007</v>
      </c>
      <c r="S363">
        <v>10</v>
      </c>
      <c r="T363">
        <v>3.6</v>
      </c>
      <c r="U363">
        <v>11.6</v>
      </c>
      <c r="V363">
        <v>9.3000000000000007</v>
      </c>
      <c r="W363">
        <v>14.4</v>
      </c>
      <c r="X363">
        <v>8.6</v>
      </c>
      <c r="Y363">
        <v>6.7</v>
      </c>
      <c r="Z363">
        <f t="shared" si="16"/>
        <v>73</v>
      </c>
      <c r="AA363" s="6">
        <f>((0.1051*SUM(R363:S363,V363:Y363))+2.585)</f>
        <v>8.6597800000000014</v>
      </c>
      <c r="AB363" s="6">
        <f>Anthropometry[[#This Row],[Upper arm girth - R]]-(PI()*(Anthropometry[[#This Row],[Triceps]]/10))</f>
        <v>31.735398464840983</v>
      </c>
      <c r="AC363" s="6">
        <f>Anthropometry[[#This Row],[Mid-thighs]]-PI()*(Anthropometry[[#This Row],[Thigh]]/10)</f>
        <v>57.398230317912777</v>
      </c>
      <c r="AD363" s="6">
        <f>Anthropometry[[#This Row],[Mid-calf]]-PI()*(Anthropometry[[#This Row],[Calf]]/10)</f>
        <v>38.595132922094841</v>
      </c>
      <c r="AE363" s="6"/>
      <c r="AF363" s="6"/>
      <c r="AM363">
        <f>Anthropometry[[#This Row],[DEXA Pelvis (kg)]] + Anthropometry[[#This Row],[ DEXA LLM (kg)]]</f>
        <v>0</v>
      </c>
    </row>
    <row r="364" spans="1:39" ht="15" customHeight="1">
      <c r="A364" t="s">
        <v>55</v>
      </c>
      <c r="B364" s="12">
        <v>44881</v>
      </c>
      <c r="C364" s="14">
        <v>0.3125</v>
      </c>
      <c r="D364" s="6">
        <v>183</v>
      </c>
      <c r="E364">
        <v>91.9</v>
      </c>
      <c r="G364" s="6">
        <f t="shared" si="17"/>
        <v>84.376303230000005</v>
      </c>
      <c r="H364" s="6">
        <f t="shared" si="18"/>
        <v>7.5236967700000008</v>
      </c>
      <c r="K364">
        <v>33.200000000000003</v>
      </c>
      <c r="M364">
        <v>107.3</v>
      </c>
      <c r="N364">
        <v>64.099999999999994</v>
      </c>
      <c r="O364" s="6">
        <f t="shared" si="21"/>
        <v>196.21699999999993</v>
      </c>
      <c r="P364">
        <v>51.95</v>
      </c>
      <c r="Q364">
        <v>37.5</v>
      </c>
      <c r="R364">
        <v>7.8</v>
      </c>
      <c r="S364">
        <v>8.1999999999999993</v>
      </c>
      <c r="T364">
        <v>3.4</v>
      </c>
      <c r="U364">
        <v>7.9</v>
      </c>
      <c r="V364">
        <v>6.7</v>
      </c>
      <c r="W364">
        <v>12</v>
      </c>
      <c r="X364">
        <v>10.9</v>
      </c>
      <c r="Y364">
        <v>7.7</v>
      </c>
      <c r="Z364">
        <f t="shared" si="16"/>
        <v>64.599999999999994</v>
      </c>
      <c r="AA364" s="6">
        <f>((0.1051*SUM(Anthropometry[[#This Row],[Triceps]:[Subscapular]],Anthropometry[[#This Row],[Supraspinale]:[Calf]]))+2.585)</f>
        <v>8.1868300000000005</v>
      </c>
      <c r="AB364" s="6">
        <f>Anthropometry[[#This Row],[Upper arm girth - R]]-(PI()*(Anthropometry[[#This Row],[Triceps]]/10))</f>
        <v>30.749557730199964</v>
      </c>
      <c r="AC364" s="6">
        <f>Anthropometry[[#This Row],[Mid-thighs]]-PI()*(Anthropometry[[#This Row],[Thigh]]/10)</f>
        <v>60.675664007587116</v>
      </c>
      <c r="AD364" s="6">
        <f>Anthropometry[[#This Row],[Mid-calf]]-PI()*(Anthropometry[[#This Row],[Calf]]/10)</f>
        <v>35.080973656735857</v>
      </c>
      <c r="AE364" s="6"/>
      <c r="AF364" s="6"/>
    </row>
    <row r="365" spans="1:39" ht="15" customHeight="1">
      <c r="A365" t="s">
        <v>52</v>
      </c>
      <c r="B365" s="12">
        <v>44953</v>
      </c>
      <c r="C365" s="14">
        <v>0.32291666666666669</v>
      </c>
      <c r="D365" s="6">
        <v>174.5</v>
      </c>
      <c r="E365">
        <v>90.3</v>
      </c>
      <c r="G365" s="6">
        <f t="shared" si="17"/>
        <v>81.217978170000009</v>
      </c>
      <c r="H365" s="6">
        <f t="shared" si="18"/>
        <v>9.0820218300000004</v>
      </c>
      <c r="K365">
        <v>36.4</v>
      </c>
      <c r="M365">
        <v>107.2</v>
      </c>
      <c r="N365">
        <v>65.900000000000006</v>
      </c>
      <c r="O365" s="6">
        <f t="shared" si="21"/>
        <v>199.41600000000005</v>
      </c>
      <c r="P365">
        <v>54.2</v>
      </c>
      <c r="Q365">
        <v>41.3</v>
      </c>
      <c r="R365">
        <v>10.4</v>
      </c>
      <c r="S365">
        <v>9.6</v>
      </c>
      <c r="T365">
        <v>6.9</v>
      </c>
      <c r="U365">
        <v>12.2</v>
      </c>
      <c r="V365">
        <v>9.8000000000000007</v>
      </c>
      <c r="W365">
        <v>19.8</v>
      </c>
      <c r="X365">
        <v>13.4</v>
      </c>
      <c r="Y365">
        <v>8.1</v>
      </c>
      <c r="Z365">
        <f t="shared" si="16"/>
        <v>90.199999999999989</v>
      </c>
      <c r="AA365" s="6">
        <f>((0.1051*SUM(R365:S365,V365:Y365))+2.585)</f>
        <v>10.05761</v>
      </c>
      <c r="AB365" s="6">
        <f>Anthropometry[[#This Row],[Upper arm girth - R]]-(PI()*(Anthropometry[[#This Row],[Triceps]]/10))</f>
        <v>33.132743640266611</v>
      </c>
      <c r="AC365" s="6">
        <f>Anthropometry[[#This Row],[Mid-thighs]]-PI()*(Anthropometry[[#This Row],[Thigh]]/10)</f>
        <v>61.690265844189682</v>
      </c>
      <c r="AD365" s="6">
        <f>Anthropometry[[#This Row],[Mid-calf]]-PI()*(Anthropometry[[#This Row],[Calf]]/10)</f>
        <v>38.755309950592263</v>
      </c>
      <c r="AE365" s="6"/>
      <c r="AF365" s="6"/>
    </row>
    <row r="366" spans="1:39" ht="15" customHeight="1">
      <c r="A366" t="s">
        <v>52</v>
      </c>
      <c r="B366" s="12">
        <v>44960</v>
      </c>
      <c r="C366" s="14">
        <v>0.32291666666666669</v>
      </c>
      <c r="D366" s="6">
        <v>174.5</v>
      </c>
      <c r="E366">
        <v>89.9</v>
      </c>
      <c r="G366" s="6">
        <f t="shared" si="17"/>
        <v>81.31173613</v>
      </c>
      <c r="H366" s="6">
        <f t="shared" si="18"/>
        <v>8.5882638700000005</v>
      </c>
      <c r="K366">
        <v>36.1</v>
      </c>
      <c r="M366">
        <v>106.9</v>
      </c>
      <c r="N366">
        <v>65.400000000000006</v>
      </c>
      <c r="O366" s="6">
        <f t="shared" si="21"/>
        <v>199.584</v>
      </c>
      <c r="P366">
        <v>53.2</v>
      </c>
      <c r="Q366">
        <v>41.6</v>
      </c>
      <c r="R366">
        <v>9.4</v>
      </c>
      <c r="S366">
        <v>9.6</v>
      </c>
      <c r="T366">
        <v>5.4</v>
      </c>
      <c r="U366">
        <v>11.8</v>
      </c>
      <c r="V366">
        <v>9.4</v>
      </c>
      <c r="W366">
        <v>17.7</v>
      </c>
      <c r="X366">
        <v>12.2</v>
      </c>
      <c r="Y366">
        <v>8</v>
      </c>
      <c r="Z366">
        <f t="shared" si="16"/>
        <v>83.5</v>
      </c>
      <c r="AA366" s="6">
        <f>((0.1051*SUM(R366:S366,V366:Y366))+2.585)</f>
        <v>9.5531299999999995</v>
      </c>
      <c r="AB366" s="6">
        <f>Anthropometry[[#This Row],[Upper arm girth - R]]-(PI()*(Anthropometry[[#This Row],[Triceps]]/10))</f>
        <v>33.146902905625595</v>
      </c>
      <c r="AC366" s="6">
        <f>Anthropometry[[#This Row],[Mid-thighs]]-PI()*(Anthropometry[[#This Row],[Thigh]]/10)</f>
        <v>61.567256962620455</v>
      </c>
      <c r="AD366" s="6">
        <f>Anthropometry[[#This Row],[Mid-calf]]-PI()*(Anthropometry[[#This Row],[Calf]]/10)</f>
        <v>39.086725877128167</v>
      </c>
      <c r="AE366" s="6"/>
      <c r="AF366" s="6"/>
    </row>
    <row r="367" spans="1:39" ht="15" customHeight="1">
      <c r="A367" t="s">
        <v>48</v>
      </c>
      <c r="B367" s="12">
        <v>44965</v>
      </c>
      <c r="C367" s="14">
        <v>0.32291666666666669</v>
      </c>
      <c r="D367" s="6">
        <v>185.7</v>
      </c>
      <c r="E367">
        <v>92.2</v>
      </c>
      <c r="G367" s="6">
        <f t="shared" si="17"/>
        <v>84.516079660000003</v>
      </c>
      <c r="H367" s="6">
        <f t="shared" si="18"/>
        <v>7.6839203400000011</v>
      </c>
      <c r="K367">
        <v>34.700000000000003</v>
      </c>
      <c r="M367">
        <v>107</v>
      </c>
      <c r="N367">
        <v>60.5</v>
      </c>
      <c r="O367" s="6">
        <f t="shared" si="21"/>
        <v>185.012</v>
      </c>
      <c r="P367">
        <v>49</v>
      </c>
      <c r="Q367">
        <v>40.700000000000003</v>
      </c>
      <c r="R367">
        <v>8.3000000000000007</v>
      </c>
      <c r="S367">
        <v>10.1</v>
      </c>
      <c r="T367">
        <v>3.6</v>
      </c>
      <c r="U367">
        <v>12.6</v>
      </c>
      <c r="V367">
        <v>7.6</v>
      </c>
      <c r="W367">
        <v>14.1</v>
      </c>
      <c r="X367">
        <v>8.1999999999999993</v>
      </c>
      <c r="Y367">
        <v>6.4</v>
      </c>
      <c r="Z367">
        <f t="shared" si="16"/>
        <v>70.900000000000006</v>
      </c>
      <c r="AA367" s="6">
        <f>((0.1051*SUM(R367:S367,V367:Y367))+2.585)</f>
        <v>8.3339700000000008</v>
      </c>
      <c r="AB367" s="6">
        <f>Anthropometry[[#This Row],[Upper arm girth - R]]-(PI()*(Anthropometry[[#This Row],[Triceps]]/10))</f>
        <v>32.092478097520477</v>
      </c>
      <c r="AC367" s="6">
        <f>Anthropometry[[#This Row],[Mid-thighs]]-PI()*(Anthropometry[[#This Row],[Thigh]]/10)</f>
        <v>57.923894024056366</v>
      </c>
      <c r="AD367" s="6">
        <f>Anthropometry[[#This Row],[Mid-calf]]-PI()*(Anthropometry[[#This Row],[Calf]]/10)</f>
        <v>38.689380701702532</v>
      </c>
      <c r="AE367" s="6"/>
      <c r="AF367" s="6"/>
      <c r="AM367">
        <f>Anthropometry[[#This Row],[DEXA Pelvis (kg)]] + Anthropometry[[#This Row],[ DEXA LLM (kg)]]</f>
        <v>0</v>
      </c>
    </row>
    <row r="368" spans="1:39" ht="15" customHeight="1">
      <c r="A368" t="s">
        <v>52</v>
      </c>
      <c r="B368" s="12">
        <v>44967</v>
      </c>
      <c r="C368" s="14">
        <v>0.32291666666666669</v>
      </c>
      <c r="D368" s="6">
        <v>174.5</v>
      </c>
      <c r="E368">
        <v>90</v>
      </c>
      <c r="G368" s="6">
        <f t="shared" si="17"/>
        <v>81.884591999999998</v>
      </c>
      <c r="H368" s="6">
        <f t="shared" si="18"/>
        <v>8.1154079999999986</v>
      </c>
      <c r="K368">
        <v>35.4</v>
      </c>
      <c r="M368">
        <v>105</v>
      </c>
      <c r="N368">
        <v>65.599999999999994</v>
      </c>
      <c r="O368" s="6">
        <f t="shared" si="21"/>
        <v>204.7</v>
      </c>
      <c r="P368">
        <v>54.5</v>
      </c>
      <c r="Q368">
        <v>41.8</v>
      </c>
      <c r="R368">
        <v>9</v>
      </c>
      <c r="S368">
        <v>9.1999999999999993</v>
      </c>
      <c r="T368">
        <v>5.8</v>
      </c>
      <c r="U368">
        <v>10.199999999999999</v>
      </c>
      <c r="V368">
        <v>8.4</v>
      </c>
      <c r="W368">
        <v>17</v>
      </c>
      <c r="X368">
        <v>10.199999999999999</v>
      </c>
      <c r="Y368">
        <v>7.4</v>
      </c>
      <c r="Z368">
        <f t="shared" si="16"/>
        <v>77.2</v>
      </c>
      <c r="AA368" s="6">
        <f>((0.1051*SUM(R368:S368,V368:Y368))+2.585)</f>
        <v>9.0171199999999985</v>
      </c>
      <c r="AB368" s="6">
        <f>Anthropometry[[#This Row],[Upper arm girth - R]]-(PI()*(Anthropometry[[#This Row],[Triceps]]/10))</f>
        <v>32.572566611769183</v>
      </c>
      <c r="AC368" s="6">
        <f>Anthropometry[[#This Row],[Mid-thighs]]-PI()*(Anthropometry[[#This Row],[Thigh]]/10)</f>
        <v>62.395575493338406</v>
      </c>
      <c r="AD368" s="6">
        <f>Anthropometry[[#This Row],[Mid-calf]]-PI()*(Anthropometry[[#This Row],[Calf]]/10)</f>
        <v>39.475221436343553</v>
      </c>
      <c r="AE368" s="6"/>
      <c r="AF368" s="6"/>
    </row>
    <row r="369" spans="1:39" ht="15" customHeight="1">
      <c r="A369" t="s">
        <v>52</v>
      </c>
      <c r="B369" s="12">
        <v>44973</v>
      </c>
      <c r="C369" s="14">
        <v>0.32291666666666669</v>
      </c>
      <c r="D369" s="6">
        <v>174.5</v>
      </c>
      <c r="E369">
        <v>88.6</v>
      </c>
      <c r="G369" s="6">
        <f>E369/100*(100-AA368)</f>
        <v>80.61083167999999</v>
      </c>
      <c r="H369" s="6">
        <f>E369/100*AA368</f>
        <v>7.9891683199999974</v>
      </c>
      <c r="K369">
        <v>35.6</v>
      </c>
      <c r="M369">
        <v>103.9</v>
      </c>
      <c r="N369">
        <v>65.5</v>
      </c>
      <c r="O369" s="6">
        <f t="shared" si="21"/>
        <v>201.30599999999998</v>
      </c>
      <c r="P369">
        <v>52.9</v>
      </c>
      <c r="Q369">
        <v>41.3</v>
      </c>
      <c r="R369">
        <v>9</v>
      </c>
      <c r="S369">
        <v>8.8000000000000007</v>
      </c>
      <c r="T369">
        <v>4.7</v>
      </c>
      <c r="U369">
        <v>10.199999999999999</v>
      </c>
      <c r="V369">
        <v>8.6999999999999993</v>
      </c>
      <c r="W369">
        <v>14.6</v>
      </c>
      <c r="X369">
        <v>11.6</v>
      </c>
      <c r="Y369">
        <v>6.3</v>
      </c>
      <c r="Z369">
        <f t="shared" si="16"/>
        <v>73.900000000000006</v>
      </c>
      <c r="AA369" s="6">
        <f>((0.1051*SUM(R369:S369,V369:Y369))+2.585)</f>
        <v>8.7858999999999998</v>
      </c>
      <c r="AB369" s="6">
        <f>Anthropometry[[#This Row],[Upper arm girth - R]]-(PI()*(Anthropometry[[#This Row],[Triceps]]/10))</f>
        <v>32.772566611769186</v>
      </c>
      <c r="AC369" s="6">
        <f>Anthropometry[[#This Row],[Mid-thighs]]-PI()*(Anthropometry[[#This Row],[Thigh]]/10)</f>
        <v>61.855752521835839</v>
      </c>
      <c r="AD369" s="6">
        <f>Anthropometry[[#This Row],[Mid-calf]]-PI()*(Anthropometry[[#This Row],[Calf]]/10)</f>
        <v>39.320796628238426</v>
      </c>
      <c r="AE369" s="6"/>
      <c r="AF369" s="6"/>
    </row>
    <row r="370" spans="1:39" ht="15" customHeight="1">
      <c r="A370" t="s">
        <v>55</v>
      </c>
      <c r="B370" s="12">
        <v>44894</v>
      </c>
      <c r="C370" s="14">
        <v>0.33333333333333331</v>
      </c>
      <c r="D370" s="6">
        <v>183</v>
      </c>
      <c r="E370">
        <v>92.2</v>
      </c>
      <c r="G370" s="6">
        <f t="shared" ref="G370:G385" si="22">E370/100*(100-AA370)</f>
        <v>84.632362299999997</v>
      </c>
      <c r="H370" s="6">
        <f t="shared" ref="H370:H385" si="23">E370/100*AA370</f>
        <v>7.5676377000000006</v>
      </c>
      <c r="K370">
        <v>33.4</v>
      </c>
      <c r="M370">
        <v>105.1</v>
      </c>
      <c r="N370" s="6">
        <v>62.8</v>
      </c>
      <c r="O370" s="6">
        <f t="shared" si="21"/>
        <v>190.96899999999999</v>
      </c>
      <c r="P370">
        <v>50.8</v>
      </c>
      <c r="Q370">
        <v>37.4</v>
      </c>
      <c r="R370">
        <v>8.4</v>
      </c>
      <c r="S370">
        <v>8.3000000000000007</v>
      </c>
      <c r="T370">
        <v>3.2</v>
      </c>
      <c r="U370">
        <v>7.3</v>
      </c>
      <c r="V370">
        <v>6.7</v>
      </c>
      <c r="W370">
        <v>12.1</v>
      </c>
      <c r="X370">
        <v>10.5</v>
      </c>
      <c r="Y370">
        <v>7.5</v>
      </c>
      <c r="Z370">
        <f t="shared" si="16"/>
        <v>64</v>
      </c>
      <c r="AA370" s="6">
        <f>((0.1051*SUM(Anthropometry[[#This Row],[Triceps]:[Subscapular]],Anthropometry[[#This Row],[Supraspinale]:[Calf]]))+2.585)</f>
        <v>8.2078500000000005</v>
      </c>
      <c r="AB370" s="6">
        <f>Anthropometry[[#This Row],[Upper arm girth - R]]-(PI()*(Anthropometry[[#This Row],[Triceps]]/10))</f>
        <v>30.761062170984573</v>
      </c>
      <c r="AC370" s="6">
        <f>Anthropometry[[#This Row],[Mid-thighs]]-PI()*(Anthropometry[[#This Row],[Thigh]]/10)</f>
        <v>59.501327713730717</v>
      </c>
      <c r="AD370" s="6">
        <f>Anthropometry[[#This Row],[Mid-calf]]-PI()*(Anthropometry[[#This Row],[Calf]]/10)</f>
        <v>35.043805509807655</v>
      </c>
      <c r="AE370" s="6"/>
      <c r="AF370" s="6"/>
      <c r="AG370">
        <v>83.2</v>
      </c>
      <c r="AH370">
        <v>12.3</v>
      </c>
      <c r="AI370">
        <v>76.400000000000006</v>
      </c>
      <c r="AJ370">
        <v>11.3</v>
      </c>
      <c r="AK370">
        <v>28.7</v>
      </c>
      <c r="AL370">
        <v>11.6</v>
      </c>
      <c r="AM370">
        <v>40.299999999999997</v>
      </c>
    </row>
    <row r="371" spans="1:39" ht="15" customHeight="1">
      <c r="A371" t="s">
        <v>55</v>
      </c>
      <c r="B371" s="12">
        <v>44944</v>
      </c>
      <c r="C371" s="14">
        <v>0.3125</v>
      </c>
      <c r="D371" s="6">
        <v>183</v>
      </c>
      <c r="E371">
        <v>91.3</v>
      </c>
      <c r="G371" s="6">
        <f t="shared" si="22"/>
        <v>84.266823189999982</v>
      </c>
      <c r="H371" s="6">
        <f t="shared" si="23"/>
        <v>7.0331768099999987</v>
      </c>
      <c r="K371">
        <v>33.299999999999997</v>
      </c>
      <c r="M371">
        <v>107.7</v>
      </c>
      <c r="N371">
        <v>63.7</v>
      </c>
      <c r="O371" s="6">
        <f t="shared" si="21"/>
        <v>197.68899999999996</v>
      </c>
      <c r="P371" s="6">
        <v>51.5</v>
      </c>
      <c r="Q371">
        <v>37.4</v>
      </c>
      <c r="R371">
        <v>7</v>
      </c>
      <c r="S371">
        <v>8</v>
      </c>
      <c r="T371">
        <v>3.6</v>
      </c>
      <c r="U371">
        <v>5.7</v>
      </c>
      <c r="V371">
        <v>6.1</v>
      </c>
      <c r="W371">
        <v>10.9</v>
      </c>
      <c r="X371">
        <v>9.3000000000000007</v>
      </c>
      <c r="Y371">
        <v>7.4</v>
      </c>
      <c r="Z371">
        <f t="shared" si="16"/>
        <v>57.999999999999993</v>
      </c>
      <c r="AA371" s="6">
        <f>((0.1051*SUM(Anthropometry[[#This Row],[Triceps]:[Subscapular]],Anthropometry[[#This Row],[Supraspinale]:[Calf]]))+2.585)</f>
        <v>7.7033699999999996</v>
      </c>
      <c r="AB371" s="6">
        <f>Anthropometry[[#This Row],[Upper arm girth - R]]-(PI()*(Anthropometry[[#This Row],[Triceps]]/10))</f>
        <v>31.100885142487144</v>
      </c>
      <c r="AC371" s="6">
        <f>Anthropometry[[#This Row],[Mid-thighs]]-PI()*(Anthropometry[[#This Row],[Thigh]]/10)</f>
        <v>60.778318832161496</v>
      </c>
      <c r="AD371" s="6">
        <f>Anthropometry[[#This Row],[Mid-calf]]-PI()*(Anthropometry[[#This Row],[Calf]]/10)</f>
        <v>35.075221436343554</v>
      </c>
      <c r="AE371" s="6"/>
      <c r="AF371" s="6"/>
    </row>
    <row r="372" spans="1:39" ht="15" customHeight="1">
      <c r="A372" t="s">
        <v>55</v>
      </c>
      <c r="B372" s="12">
        <v>44951</v>
      </c>
      <c r="C372" s="14">
        <v>0.3125</v>
      </c>
      <c r="D372" s="6">
        <v>183</v>
      </c>
      <c r="E372">
        <v>91.5</v>
      </c>
      <c r="G372" s="6">
        <f t="shared" si="22"/>
        <v>84.624516150000005</v>
      </c>
      <c r="H372" s="6">
        <f t="shared" si="23"/>
        <v>6.8754838499999993</v>
      </c>
      <c r="K372">
        <v>33.200000000000003</v>
      </c>
      <c r="M372">
        <v>108.2</v>
      </c>
      <c r="N372">
        <v>63.9</v>
      </c>
      <c r="O372" s="6">
        <f t="shared" si="21"/>
        <v>198.83399999999995</v>
      </c>
      <c r="P372">
        <v>51.7</v>
      </c>
      <c r="Q372">
        <v>37.4</v>
      </c>
      <c r="R372">
        <v>7.2</v>
      </c>
      <c r="S372">
        <v>8</v>
      </c>
      <c r="T372">
        <v>3.2</v>
      </c>
      <c r="U372">
        <v>6.5</v>
      </c>
      <c r="V372">
        <v>6.1</v>
      </c>
      <c r="W372">
        <v>9.4</v>
      </c>
      <c r="X372">
        <v>9.1999999999999993</v>
      </c>
      <c r="Y372">
        <v>7</v>
      </c>
      <c r="Z372">
        <f t="shared" si="16"/>
        <v>56.599999999999994</v>
      </c>
      <c r="AA372" s="6">
        <f>((0.1051*SUM(Anthropometry[[#This Row],[Triceps]:[Subscapular]],Anthropometry[[#This Row],[Supraspinale]:[Calf]]))+2.585)</f>
        <v>7.5141899999999993</v>
      </c>
      <c r="AB372" s="6">
        <f>Anthropometry[[#This Row],[Upper arm girth - R]]-(PI()*(Anthropometry[[#This Row],[Triceps]]/10))</f>
        <v>30.93805328941535</v>
      </c>
      <c r="AC372" s="6">
        <f>Anthropometry[[#This Row],[Mid-thighs]]-PI()*(Anthropometry[[#This Row],[Thigh]]/10)</f>
        <v>61.009734758697391</v>
      </c>
      <c r="AD372" s="6">
        <f>Anthropometry[[#This Row],[Mid-calf]]-PI()*(Anthropometry[[#This Row],[Calf]]/10)</f>
        <v>35.200885142487145</v>
      </c>
      <c r="AE372" s="6"/>
      <c r="AF372" s="6"/>
    </row>
    <row r="373" spans="1:39" ht="15" customHeight="1">
      <c r="A373" t="s">
        <v>55</v>
      </c>
      <c r="B373" s="12">
        <v>44979</v>
      </c>
      <c r="C373" s="14">
        <v>0.3125</v>
      </c>
      <c r="D373" s="6">
        <v>183</v>
      </c>
      <c r="E373">
        <v>89.7</v>
      </c>
      <c r="G373" s="6">
        <f t="shared" si="22"/>
        <v>82.903206749999995</v>
      </c>
      <c r="H373" s="6">
        <f t="shared" si="23"/>
        <v>6.7967932500000003</v>
      </c>
      <c r="K373">
        <v>32.700000000000003</v>
      </c>
      <c r="M373">
        <v>106.7</v>
      </c>
      <c r="N373">
        <v>62.4</v>
      </c>
      <c r="O373" s="6">
        <f t="shared" si="21"/>
        <v>191.18699999999995</v>
      </c>
      <c r="P373">
        <v>50.8</v>
      </c>
      <c r="Q373">
        <v>37.4</v>
      </c>
      <c r="R373">
        <v>7.6</v>
      </c>
      <c r="S373">
        <v>8.1</v>
      </c>
      <c r="T373">
        <v>3</v>
      </c>
      <c r="U373">
        <v>6</v>
      </c>
      <c r="V373">
        <v>5.9</v>
      </c>
      <c r="W373">
        <v>10.199999999999999</v>
      </c>
      <c r="X373">
        <v>9.5</v>
      </c>
      <c r="Y373">
        <v>6.2</v>
      </c>
      <c r="Z373">
        <f t="shared" si="16"/>
        <v>56.5</v>
      </c>
      <c r="AA373" s="6">
        <f>((0.1051*SUM(Anthropometry[[#This Row],[Triceps]:[Subscapular]],Anthropometry[[#This Row],[Supraspinale]:[Calf]]))+2.585)</f>
        <v>7.5772500000000003</v>
      </c>
      <c r="AB373" s="6">
        <f>Anthropometry[[#This Row],[Upper arm girth - R]]-(PI()*(Anthropometry[[#This Row],[Triceps]]/10))</f>
        <v>30.312389583271759</v>
      </c>
      <c r="AC373" s="6">
        <f>Anthropometry[[#This Row],[Mid-thighs]]-PI()*(Anthropometry[[#This Row],[Thigh]]/10)</f>
        <v>59.415486979089692</v>
      </c>
      <c r="AD373" s="6">
        <f>Anthropometry[[#This Row],[Mid-calf]]-PI()*(Anthropometry[[#This Row],[Calf]]/10)</f>
        <v>35.452212554774327</v>
      </c>
      <c r="AE373" s="6"/>
      <c r="AF373" s="6"/>
    </row>
    <row r="374" spans="1:39" ht="15" customHeight="1">
      <c r="A374" t="s">
        <v>48</v>
      </c>
      <c r="B374" s="12">
        <v>45030</v>
      </c>
      <c r="C374" s="14">
        <v>0.32291666666666669</v>
      </c>
      <c r="D374" s="6">
        <v>185.7</v>
      </c>
      <c r="E374">
        <v>92.1</v>
      </c>
      <c r="G374" s="6">
        <f t="shared" si="22"/>
        <v>84.366335369999987</v>
      </c>
      <c r="H374" s="6">
        <f t="shared" si="23"/>
        <v>7.7336646299999998</v>
      </c>
      <c r="K374">
        <v>34.9</v>
      </c>
      <c r="L374" s="36">
        <v>87.7</v>
      </c>
      <c r="M374">
        <v>106.5</v>
      </c>
      <c r="N374">
        <v>60.2</v>
      </c>
      <c r="O374" s="6">
        <f t="shared" si="21"/>
        <v>183.608</v>
      </c>
      <c r="P374">
        <v>49</v>
      </c>
      <c r="Q374">
        <v>40.700000000000003</v>
      </c>
      <c r="R374">
        <v>8.1999999999999993</v>
      </c>
      <c r="S374">
        <v>10</v>
      </c>
      <c r="T374">
        <v>3.2</v>
      </c>
      <c r="U374">
        <v>10.3</v>
      </c>
      <c r="V374">
        <v>8.6999999999999993</v>
      </c>
      <c r="W374">
        <v>13.8</v>
      </c>
      <c r="X374">
        <v>8.1999999999999993</v>
      </c>
      <c r="Y374">
        <v>6.4</v>
      </c>
      <c r="Z374">
        <f t="shared" si="16"/>
        <v>68.800000000000011</v>
      </c>
      <c r="AA374" s="6">
        <f>((0.1051*SUM(R374:S374,V374:Y374))+2.585)</f>
        <v>8.3970300000000009</v>
      </c>
      <c r="AB374" s="6">
        <f>Anthropometry[[#This Row],[Upper arm girth - R]]-(PI()*(Anthropometry[[#This Row],[Triceps]]/10))</f>
        <v>32.323894024056372</v>
      </c>
      <c r="AC374" s="6">
        <f>Anthropometry[[#This Row],[Mid-thighs]]-PI()*(Anthropometry[[#This Row],[Thigh]]/10)</f>
        <v>57.623894024056369</v>
      </c>
      <c r="AD374" s="6">
        <f>Anthropometry[[#This Row],[Mid-calf]]-PI()*(Anthropometry[[#This Row],[Calf]]/10)</f>
        <v>38.689380701702532</v>
      </c>
      <c r="AE374" s="6"/>
      <c r="AF374" s="6"/>
      <c r="AM374">
        <f>Anthropometry[[#This Row],[DEXA Pelvis (kg)]] + Anthropometry[[#This Row],[ DEXA LLM (kg)]]</f>
        <v>0</v>
      </c>
    </row>
    <row r="375" spans="1:39" ht="15" customHeight="1">
      <c r="A375" t="s">
        <v>55</v>
      </c>
      <c r="B375" s="12">
        <v>45006</v>
      </c>
      <c r="C375" s="14">
        <v>0.3125</v>
      </c>
      <c r="D375" s="6">
        <v>183</v>
      </c>
      <c r="E375">
        <v>90.6</v>
      </c>
      <c r="G375" s="6">
        <f t="shared" si="22"/>
        <v>83.363651159999989</v>
      </c>
      <c r="H375" s="6">
        <f t="shared" si="23"/>
        <v>7.2363488399999998</v>
      </c>
      <c r="K375">
        <v>33.1</v>
      </c>
      <c r="L375" s="38"/>
      <c r="M375">
        <v>105</v>
      </c>
      <c r="N375">
        <v>62.9</v>
      </c>
      <c r="O375" s="6">
        <f t="shared" si="21"/>
        <v>194.36299999999994</v>
      </c>
      <c r="P375">
        <v>51.1</v>
      </c>
      <c r="Q375">
        <v>37.700000000000003</v>
      </c>
      <c r="R375">
        <v>7.8</v>
      </c>
      <c r="S375">
        <v>8.1</v>
      </c>
      <c r="T375">
        <v>3.4</v>
      </c>
      <c r="U375">
        <v>8.4</v>
      </c>
      <c r="V375">
        <v>7.2</v>
      </c>
      <c r="W375">
        <v>13.1</v>
      </c>
      <c r="X375">
        <v>9.1</v>
      </c>
      <c r="Y375">
        <v>6.1</v>
      </c>
      <c r="Z375">
        <f t="shared" si="16"/>
        <v>63.2</v>
      </c>
      <c r="AA375" s="6">
        <f>((0.1051*SUM(Anthropometry[[#This Row],[Triceps]:[Subscapular]],Anthropometry[[#This Row],[Supraspinale]:[Calf]]))+2.585)</f>
        <v>7.9871400000000001</v>
      </c>
      <c r="AB375" s="6">
        <f>Anthropometry[[#This Row],[Upper arm girth - R]]-(PI()*(Anthropometry[[#This Row],[Triceps]]/10))</f>
        <v>30.649557730199962</v>
      </c>
      <c r="AC375" s="6">
        <f>Anthropometry[[#This Row],[Mid-thighs]]-PI()*(Anthropometry[[#This Row],[Thigh]]/10)</f>
        <v>60.041150685233291</v>
      </c>
      <c r="AD375" s="6">
        <f>Anthropometry[[#This Row],[Mid-calf]]-PI()*(Anthropometry[[#This Row],[Calf]]/10)</f>
        <v>35.783628481310231</v>
      </c>
      <c r="AE375" s="6"/>
      <c r="AF375" s="6"/>
      <c r="AG375">
        <v>83.1</v>
      </c>
      <c r="AH375">
        <v>12.1</v>
      </c>
      <c r="AI375">
        <v>74.2</v>
      </c>
      <c r="AJ375">
        <v>10.8</v>
      </c>
      <c r="AK375">
        <v>28.2</v>
      </c>
      <c r="AL375">
        <v>11.6</v>
      </c>
      <c r="AM375">
        <v>39.799999999999997</v>
      </c>
    </row>
    <row r="376" spans="1:39" ht="15" customHeight="1">
      <c r="A376" s="25" t="s">
        <v>55</v>
      </c>
      <c r="B376" s="26">
        <v>45021</v>
      </c>
      <c r="C376" s="27">
        <v>0.3125</v>
      </c>
      <c r="D376" s="28">
        <v>183</v>
      </c>
      <c r="E376" s="25">
        <v>89.3</v>
      </c>
      <c r="F376" s="25"/>
      <c r="G376" s="28">
        <f t="shared" si="22"/>
        <v>82.599213759999998</v>
      </c>
      <c r="H376" s="28">
        <f t="shared" si="23"/>
        <v>6.7007862400000002</v>
      </c>
      <c r="I376" s="25"/>
      <c r="J376" s="25"/>
      <c r="K376" s="25">
        <v>32.200000000000003</v>
      </c>
      <c r="L376" s="60">
        <v>84.1</v>
      </c>
      <c r="M376" s="25">
        <v>108.3</v>
      </c>
      <c r="N376" s="25">
        <v>63</v>
      </c>
      <c r="O376" s="28">
        <f t="shared" si="21"/>
        <v>195.03999999999996</v>
      </c>
      <c r="P376" s="25"/>
      <c r="Q376" s="25">
        <v>38</v>
      </c>
      <c r="R376" s="25">
        <v>7.8</v>
      </c>
      <c r="S376" s="25">
        <v>7.5</v>
      </c>
      <c r="T376" s="25">
        <v>3.6</v>
      </c>
      <c r="U376" s="25">
        <v>7.6</v>
      </c>
      <c r="V376" s="25">
        <v>5.3</v>
      </c>
      <c r="W376" s="25">
        <v>11.1</v>
      </c>
      <c r="X376" s="25">
        <v>9</v>
      </c>
      <c r="Y376" s="25">
        <v>6.1</v>
      </c>
      <c r="Z376" s="25">
        <v>58</v>
      </c>
      <c r="AA376" s="28">
        <f>((0.1051*SUM(Anthropometry[[#This Row],[Triceps]:[Subscapular]],Anthropometry[[#This Row],[Supraspinale]:[Calf]]))+2.585)</f>
        <v>7.5036800000000001</v>
      </c>
      <c r="AB376" s="28">
        <f>Anthropometry[[#This Row],[Upper arm girth - R]]-(PI()*(Anthropometry[[#This Row],[Triceps]]/10))</f>
        <v>29.749557730199964</v>
      </c>
      <c r="AC376" s="28">
        <f>Anthropometry[[#This Row],[Mid-thighs]]-PI()*(Anthropometry[[#This Row],[Thigh]]/10)</f>
        <v>60.172566611769184</v>
      </c>
      <c r="AD376" s="28">
        <f>Anthropometry[[#This Row],[Mid-calf]]-PI()*(Anthropometry[[#This Row],[Calf]]/10)</f>
        <v>36.083628481310228</v>
      </c>
      <c r="AE376" s="28"/>
      <c r="AF376" s="28"/>
    </row>
    <row r="377" spans="1:39" ht="15" customHeight="1">
      <c r="A377" t="s">
        <v>55</v>
      </c>
      <c r="B377" s="12">
        <v>45037</v>
      </c>
      <c r="C377" s="14">
        <v>0.3125</v>
      </c>
      <c r="D377" s="6">
        <v>182.4</v>
      </c>
      <c r="E377">
        <v>90.9</v>
      </c>
      <c r="G377" s="6">
        <f t="shared" si="22"/>
        <v>83.697011279999998</v>
      </c>
      <c r="H377" s="6">
        <f t="shared" si="23"/>
        <v>7.2029887200000005</v>
      </c>
      <c r="K377">
        <v>33</v>
      </c>
      <c r="L377" s="39">
        <v>87.7</v>
      </c>
      <c r="M377">
        <v>105.6</v>
      </c>
      <c r="N377">
        <v>63</v>
      </c>
      <c r="O377" s="6">
        <f t="shared" si="21"/>
        <v>192.74099999999999</v>
      </c>
      <c r="P377">
        <v>51.5</v>
      </c>
      <c r="Q377">
        <v>37.4</v>
      </c>
      <c r="R377">
        <v>7.5</v>
      </c>
      <c r="S377">
        <v>8</v>
      </c>
      <c r="T377">
        <v>3.4</v>
      </c>
      <c r="U377">
        <v>6.4</v>
      </c>
      <c r="V377">
        <v>6.9</v>
      </c>
      <c r="W377">
        <v>12.3</v>
      </c>
      <c r="X377">
        <v>10.1</v>
      </c>
      <c r="Y377">
        <v>6</v>
      </c>
      <c r="Z377">
        <f t="shared" ref="Z377:Z385" si="24">SUM(R377:Y377)</f>
        <v>60.6</v>
      </c>
      <c r="AA377" s="6">
        <f>((0.1051*SUM(Anthropometry[[#This Row],[Triceps]:[Subscapular]],Anthropometry[[#This Row],[Supraspinale]:[Calf]]))+2.585)</f>
        <v>7.92408</v>
      </c>
      <c r="AB377" s="6">
        <f>Anthropometry[[#This Row],[Upper arm girth - R]]-(PI()*(Anthropometry[[#This Row],[Triceps]]/10))</f>
        <v>30.643805509807656</v>
      </c>
      <c r="AC377" s="6">
        <f>Anthropometry[[#This Row],[Mid-thighs]]-PI()*(Anthropometry[[#This Row],[Thigh]]/10)</f>
        <v>59.826991419874311</v>
      </c>
      <c r="AD377" s="6">
        <f>Anthropometry[[#This Row],[Mid-calf]]-PI()*(Anthropometry[[#This Row],[Calf]]/10)</f>
        <v>35.515044407846119</v>
      </c>
      <c r="AE377" s="6"/>
      <c r="AF377" s="6"/>
    </row>
    <row r="378" spans="1:39" ht="15" customHeight="1">
      <c r="A378" t="s">
        <v>55</v>
      </c>
      <c r="B378" s="12">
        <v>45051</v>
      </c>
      <c r="C378" s="14">
        <v>0.3125</v>
      </c>
      <c r="D378" s="6">
        <v>182.4</v>
      </c>
      <c r="E378">
        <v>90.8</v>
      </c>
      <c r="G378" s="6">
        <f t="shared" si="22"/>
        <v>83.671736919999987</v>
      </c>
      <c r="H378" s="6">
        <f t="shared" si="23"/>
        <v>7.1282630799999982</v>
      </c>
      <c r="K378">
        <v>32.1</v>
      </c>
      <c r="L378" s="52">
        <v>85.3</v>
      </c>
      <c r="M378">
        <v>105.5</v>
      </c>
      <c r="N378">
        <v>63.2</v>
      </c>
      <c r="O378" s="6">
        <f t="shared" si="21"/>
        <v>193.46800000000002</v>
      </c>
      <c r="P378">
        <v>52.2</v>
      </c>
      <c r="Q378">
        <v>37.6</v>
      </c>
      <c r="R378">
        <v>8.1</v>
      </c>
      <c r="S378">
        <v>7.7</v>
      </c>
      <c r="T378">
        <v>3.4</v>
      </c>
      <c r="U378">
        <v>6.3</v>
      </c>
      <c r="V378">
        <v>6.3</v>
      </c>
      <c r="W378">
        <v>12</v>
      </c>
      <c r="X378">
        <v>10.199999999999999</v>
      </c>
      <c r="Y378">
        <v>5.8</v>
      </c>
      <c r="Z378">
        <f t="shared" si="24"/>
        <v>59.8</v>
      </c>
      <c r="AA378" s="6">
        <f>((0.1051*SUM(Anthropometry[[#This Row],[Triceps]:[Subscapular]],Anthropometry[[#This Row],[Supraspinale]:[Calf]]))+2.585)</f>
        <v>7.850509999999999</v>
      </c>
      <c r="AB378" s="6">
        <f>Anthropometry[[#This Row],[Upper arm girth - R]]-(PI()*(Anthropometry[[#This Row],[Triceps]]/10))</f>
        <v>29.555309950592267</v>
      </c>
      <c r="AC378" s="6">
        <f>Anthropometry[[#This Row],[Mid-thighs]]-PI()*(Anthropometry[[#This Row],[Thigh]]/10)</f>
        <v>59.995575493338414</v>
      </c>
      <c r="AD378" s="6">
        <f>Anthropometry[[#This Row],[Mid-calf]]-PI()*(Anthropometry[[#This Row],[Calf]]/10)</f>
        <v>35.777876260917921</v>
      </c>
      <c r="AE378" s="6"/>
      <c r="AF378" s="6"/>
    </row>
    <row r="379" spans="1:39" ht="15" customHeight="1">
      <c r="A379" t="s">
        <v>48</v>
      </c>
      <c r="B379" s="12">
        <v>45064</v>
      </c>
      <c r="C379" s="14">
        <v>0.33333333333333331</v>
      </c>
      <c r="D379" s="6">
        <v>185.5</v>
      </c>
      <c r="E379">
        <v>93.3</v>
      </c>
      <c r="G379" s="6">
        <f t="shared" si="22"/>
        <v>85.004697000000007</v>
      </c>
      <c r="H379" s="6">
        <f t="shared" si="23"/>
        <v>8.295302999999997</v>
      </c>
      <c r="K379">
        <v>36</v>
      </c>
      <c r="L379" s="52">
        <v>85.3</v>
      </c>
      <c r="M379">
        <v>107.5</v>
      </c>
      <c r="N379">
        <v>60.1</v>
      </c>
      <c r="O379" s="6">
        <f t="shared" si="21"/>
        <v>182.93099999999998</v>
      </c>
      <c r="P379">
        <v>0</v>
      </c>
      <c r="Q379">
        <v>40.5</v>
      </c>
      <c r="R379">
        <v>9.4</v>
      </c>
      <c r="S379">
        <v>10.199999999999999</v>
      </c>
      <c r="T379">
        <v>3.6</v>
      </c>
      <c r="U379">
        <v>11.2</v>
      </c>
      <c r="V379">
        <v>9.1999999999999993</v>
      </c>
      <c r="W379">
        <v>16</v>
      </c>
      <c r="X379">
        <v>8.3000000000000007</v>
      </c>
      <c r="Y379">
        <v>6.9</v>
      </c>
      <c r="Z379">
        <f t="shared" si="24"/>
        <v>74.800000000000011</v>
      </c>
      <c r="AA379" s="6">
        <f>((0.1051*SUM(R379:S379,V379:Y379))+2.585)</f>
        <v>8.8909999999999982</v>
      </c>
      <c r="AB379" s="6">
        <f>Anthropometry[[#This Row],[Upper arm girth - R]]-(PI()*(Anthropometry[[#This Row],[Triceps]]/10))</f>
        <v>33.046902905625593</v>
      </c>
      <c r="AC379" s="6">
        <f>Anthropometry[[#This Row],[Mid-thighs]]-PI()*(Anthropometry[[#This Row],[Thigh]]/10)</f>
        <v>57.492478097520475</v>
      </c>
      <c r="AD379" s="6">
        <f>Anthropometry[[#This Row],[Mid-calf]]-PI()*(Anthropometry[[#This Row],[Calf]]/10)</f>
        <v>38.332301069023046</v>
      </c>
      <c r="AE379" s="6"/>
      <c r="AF379" s="6"/>
      <c r="AG379">
        <v>81.5</v>
      </c>
      <c r="AH379">
        <v>14.5</v>
      </c>
      <c r="AI379">
        <v>75.7</v>
      </c>
      <c r="AJ379">
        <v>13.5</v>
      </c>
      <c r="AK379">
        <v>27.7</v>
      </c>
      <c r="AL379">
        <v>10.8</v>
      </c>
      <c r="AM379">
        <f>Anthropometry[[#This Row],[DEXA Pelvis (kg)]] + Anthropometry[[#This Row],[ DEXA LLM (kg)]]</f>
        <v>38.5</v>
      </c>
    </row>
    <row r="380" spans="1:39" ht="15" customHeight="1">
      <c r="A380" t="s">
        <v>55</v>
      </c>
      <c r="B380" s="12">
        <v>45065</v>
      </c>
      <c r="C380" s="14">
        <v>0.3125</v>
      </c>
      <c r="D380" s="6">
        <v>182.4</v>
      </c>
      <c r="E380">
        <v>90.4</v>
      </c>
      <c r="G380" s="6">
        <f t="shared" si="22"/>
        <v>83.607172239999997</v>
      </c>
      <c r="H380" s="6">
        <f t="shared" si="23"/>
        <v>6.7928277600000007</v>
      </c>
      <c r="K380">
        <v>32.200000000000003</v>
      </c>
      <c r="L380" s="39">
        <v>84.3</v>
      </c>
      <c r="M380">
        <v>108</v>
      </c>
      <c r="N380">
        <v>63.1</v>
      </c>
      <c r="O380" s="6">
        <f t="shared" si="21"/>
        <v>195.50799999999998</v>
      </c>
      <c r="P380">
        <v>51.3</v>
      </c>
      <c r="Q380">
        <v>37.4</v>
      </c>
      <c r="R380">
        <v>7.5</v>
      </c>
      <c r="S380">
        <v>7.7</v>
      </c>
      <c r="T380">
        <v>3</v>
      </c>
      <c r="U380">
        <v>6.8</v>
      </c>
      <c r="V380">
        <v>5.8</v>
      </c>
      <c r="W380">
        <v>10</v>
      </c>
      <c r="X380">
        <v>9</v>
      </c>
      <c r="Y380">
        <v>6.9</v>
      </c>
      <c r="Z380">
        <f t="shared" si="24"/>
        <v>56.699999999999996</v>
      </c>
      <c r="AA380" s="6">
        <f>((0.1051*SUM(Anthropometry[[#This Row],[Triceps]:[Subscapular]],Anthropometry[[#This Row],[Supraspinale]:[Calf]]))+2.585)</f>
        <v>7.5141900000000001</v>
      </c>
      <c r="AB380" s="6">
        <f>Anthropometry[[#This Row],[Upper arm girth - R]]-(PI()*(Anthropometry[[#This Row],[Triceps]]/10))</f>
        <v>29.843805509807659</v>
      </c>
      <c r="AC380" s="6">
        <f>Anthropometry[[#This Row],[Mid-thighs]]-PI()*(Anthropometry[[#This Row],[Thigh]]/10)</f>
        <v>60.272566611769186</v>
      </c>
      <c r="AD380" s="6">
        <f>Anthropometry[[#This Row],[Mid-calf]]-PI()*(Anthropometry[[#This Row],[Calf]]/10)</f>
        <v>35.232301069023038</v>
      </c>
      <c r="AE380" s="6"/>
      <c r="AF380" s="6"/>
    </row>
    <row r="381" spans="1:39" ht="15" customHeight="1">
      <c r="A381" t="s">
        <v>51</v>
      </c>
      <c r="B381" s="12">
        <v>45064</v>
      </c>
      <c r="C381" s="14">
        <v>0.35416666666666669</v>
      </c>
      <c r="D381" s="6">
        <v>170.6</v>
      </c>
      <c r="E381">
        <v>71.8</v>
      </c>
      <c r="F381" s="6">
        <f>(E381/((D381/100)*(D381/100)))</f>
        <v>24.669843281212849</v>
      </c>
      <c r="G381" s="6">
        <f t="shared" si="22"/>
        <v>60.99361176</v>
      </c>
      <c r="H381" s="6">
        <f t="shared" si="23"/>
        <v>10.80638824</v>
      </c>
      <c r="K381">
        <v>30.4</v>
      </c>
      <c r="L381" s="39"/>
      <c r="M381">
        <v>102.5</v>
      </c>
      <c r="N381">
        <v>59.6</v>
      </c>
      <c r="O381" s="6">
        <f t="shared" si="21"/>
        <v>160.73599999999999</v>
      </c>
      <c r="Q381">
        <v>36.799999999999997</v>
      </c>
      <c r="R381">
        <v>14.3</v>
      </c>
      <c r="S381">
        <v>10.4</v>
      </c>
      <c r="T381">
        <v>6</v>
      </c>
      <c r="U381">
        <v>15</v>
      </c>
      <c r="V381">
        <v>9</v>
      </c>
      <c r="W381">
        <v>14.1</v>
      </c>
      <c r="X381">
        <v>17.8</v>
      </c>
      <c r="Y381">
        <v>8.5</v>
      </c>
      <c r="Z381">
        <f t="shared" si="24"/>
        <v>95.1</v>
      </c>
      <c r="AA381" s="6">
        <f>((0.1548*SUM(R381:S381,V381:Y381))+3.58)</f>
        <v>15.050680000000002</v>
      </c>
      <c r="AB381" s="6">
        <f>Anthropometry[[#This Row],[Upper arm girth - R]]-(PI()*(Anthropometry[[#This Row],[Triceps]]/10))</f>
        <v>25.907522505366593</v>
      </c>
      <c r="AC381" s="6">
        <f>Anthropometry[[#This Row],[Mid-thighs]]-PI()*(Anthropometry[[#This Row],[Thigh]]/10)</f>
        <v>54.007965076610169</v>
      </c>
      <c r="AD381" s="6">
        <f>Anthropometry[[#This Row],[Mid-calf]]-PI()*(Anthropometry[[#This Row],[Calf]]/10)</f>
        <v>34.129646244448672</v>
      </c>
      <c r="AE381" s="6"/>
      <c r="AF381" s="6"/>
      <c r="AG381">
        <v>75.7</v>
      </c>
      <c r="AH381">
        <v>20.5</v>
      </c>
      <c r="AI381">
        <v>54.1</v>
      </c>
      <c r="AJ381">
        <v>14.7</v>
      </c>
      <c r="AK381">
        <v>20</v>
      </c>
      <c r="AL381">
        <v>9</v>
      </c>
      <c r="AM381">
        <v>29</v>
      </c>
    </row>
    <row r="382" spans="1:39" ht="15" customHeight="1">
      <c r="A382" t="s">
        <v>55</v>
      </c>
      <c r="B382" s="12">
        <v>45071</v>
      </c>
      <c r="C382" s="14">
        <v>0.3125</v>
      </c>
      <c r="D382" s="6">
        <v>182.4</v>
      </c>
      <c r="E382">
        <v>91.6</v>
      </c>
      <c r="G382" s="6">
        <f t="shared" si="22"/>
        <v>84.755510599999994</v>
      </c>
      <c r="H382" s="6">
        <f t="shared" si="23"/>
        <v>6.8444893999999996</v>
      </c>
      <c r="K382">
        <v>33.200000000000003</v>
      </c>
      <c r="L382" s="52">
        <v>84</v>
      </c>
      <c r="M382">
        <v>107.7</v>
      </c>
      <c r="N382">
        <v>63.2</v>
      </c>
      <c r="O382" s="6">
        <f t="shared" si="21"/>
        <v>195.14</v>
      </c>
      <c r="Q382">
        <v>37.200000000000003</v>
      </c>
      <c r="R382">
        <v>7.5</v>
      </c>
      <c r="S382">
        <v>7.7</v>
      </c>
      <c r="T382">
        <v>3.2</v>
      </c>
      <c r="U382">
        <v>6.6</v>
      </c>
      <c r="V382">
        <v>5.7</v>
      </c>
      <c r="W382">
        <v>10.199999999999999</v>
      </c>
      <c r="X382">
        <v>9.4</v>
      </c>
      <c r="Y382">
        <v>6</v>
      </c>
      <c r="Z382">
        <f t="shared" si="24"/>
        <v>56.3</v>
      </c>
      <c r="AA382" s="6">
        <f>((0.1051*SUM(Anthropometry[[#This Row],[Triceps]:[Subscapular]],Anthropometry[[#This Row],[Supraspinale]:[Calf]]))+2.585)</f>
        <v>7.4721500000000001</v>
      </c>
      <c r="AB382" s="6">
        <f>Anthropometry[[#This Row],[Upper arm girth - R]]-(PI()*(Anthropometry[[#This Row],[Triceps]]/10))</f>
        <v>30.843805509807659</v>
      </c>
      <c r="AC382" s="6">
        <f>Anthropometry[[#This Row],[Mid-thighs]]-PI()*(Anthropometry[[#This Row],[Thigh]]/10)</f>
        <v>60.246902905625596</v>
      </c>
      <c r="AD382" s="6">
        <f>Anthropometry[[#This Row],[Mid-calf]]-PI()*(Anthropometry[[#This Row],[Calf]]/10)</f>
        <v>35.315044407846131</v>
      </c>
      <c r="AE382" s="6"/>
      <c r="AF382" s="6"/>
      <c r="AG382">
        <v>83.8</v>
      </c>
      <c r="AH382">
        <v>11.7</v>
      </c>
      <c r="AI382">
        <v>76.8</v>
      </c>
      <c r="AJ382">
        <v>10.7</v>
      </c>
      <c r="AK382">
        <v>29</v>
      </c>
      <c r="AL382">
        <v>11.4</v>
      </c>
      <c r="AM382">
        <v>40.4</v>
      </c>
    </row>
    <row r="383" spans="1:39" ht="15" customHeight="1">
      <c r="A383" t="s">
        <v>55</v>
      </c>
      <c r="B383" s="12">
        <v>45084</v>
      </c>
      <c r="C383" s="14">
        <v>0.3125</v>
      </c>
      <c r="D383" s="6">
        <v>182.4</v>
      </c>
      <c r="E383">
        <v>91.8</v>
      </c>
      <c r="G383" s="6">
        <f t="shared" si="22"/>
        <v>84.757250879999987</v>
      </c>
      <c r="H383" s="6">
        <f t="shared" si="23"/>
        <v>7.0427491199999999</v>
      </c>
      <c r="K383">
        <v>33</v>
      </c>
      <c r="L383" s="39">
        <v>86.1</v>
      </c>
      <c r="M383">
        <v>108</v>
      </c>
      <c r="N383">
        <v>63.2</v>
      </c>
      <c r="O383" s="6">
        <f t="shared" si="21"/>
        <v>195.767</v>
      </c>
      <c r="Q383">
        <v>37.200000000000003</v>
      </c>
      <c r="R383">
        <v>7.4</v>
      </c>
      <c r="S383">
        <v>8</v>
      </c>
      <c r="T383">
        <v>3.2</v>
      </c>
      <c r="U383">
        <v>7.7</v>
      </c>
      <c r="V383">
        <v>6.2</v>
      </c>
      <c r="W383">
        <v>12</v>
      </c>
      <c r="X383">
        <v>9.1</v>
      </c>
      <c r="Y383">
        <v>5.7</v>
      </c>
      <c r="Z383">
        <f t="shared" si="24"/>
        <v>59.300000000000004</v>
      </c>
      <c r="AA383" s="6">
        <f>((0.1051*SUM(Anthropometry[[#This Row],[Triceps]:[Subscapular]],Anthropometry[[#This Row],[Supraspinale]:[Calf]]))+2.585)</f>
        <v>7.6718400000000004</v>
      </c>
      <c r="AB383" s="6">
        <f>Anthropometry[[#This Row],[Upper arm girth - R]]-(PI()*(Anthropometry[[#This Row],[Triceps]]/10))</f>
        <v>30.675221436343552</v>
      </c>
      <c r="AC383" s="6">
        <f>Anthropometry[[#This Row],[Mid-thighs]]-PI()*(Anthropometry[[#This Row],[Thigh]]/10)</f>
        <v>60.341150685233288</v>
      </c>
      <c r="AD383" s="6">
        <f>Anthropometry[[#This Row],[Mid-calf]]-PI()*(Anthropometry[[#This Row],[Calf]]/10)</f>
        <v>35.409292187453822</v>
      </c>
      <c r="AE383" s="6"/>
      <c r="AF383" s="6"/>
    </row>
    <row r="384" spans="1:39" ht="15" customHeight="1">
      <c r="A384" t="s">
        <v>55</v>
      </c>
      <c r="B384" s="12">
        <v>45098</v>
      </c>
      <c r="C384" s="14">
        <v>0.33333333333333331</v>
      </c>
      <c r="D384" s="6">
        <v>182.8</v>
      </c>
      <c r="E384">
        <v>91.3</v>
      </c>
      <c r="G384" s="6">
        <f t="shared" si="22"/>
        <v>84.247631929999997</v>
      </c>
      <c r="H384" s="6">
        <f t="shared" si="23"/>
        <v>7.0523680699999982</v>
      </c>
      <c r="K384">
        <v>33.4</v>
      </c>
      <c r="L384" s="38">
        <v>85.3</v>
      </c>
      <c r="M384">
        <v>108</v>
      </c>
      <c r="N384">
        <v>63.4</v>
      </c>
      <c r="O384" s="6">
        <f t="shared" si="21"/>
        <v>197.32999999999998</v>
      </c>
      <c r="Q384">
        <v>37.4</v>
      </c>
      <c r="R384">
        <v>7.3</v>
      </c>
      <c r="S384">
        <v>8.4</v>
      </c>
      <c r="T384">
        <v>4.2</v>
      </c>
      <c r="U384">
        <v>8</v>
      </c>
      <c r="V384">
        <v>6.8</v>
      </c>
      <c r="W384">
        <v>11.8</v>
      </c>
      <c r="X384">
        <v>8.8000000000000007</v>
      </c>
      <c r="Y384">
        <v>5.8</v>
      </c>
      <c r="Z384">
        <f t="shared" si="24"/>
        <v>61.099999999999994</v>
      </c>
      <c r="AA384" s="6">
        <f>((0.1051*SUM(Anthropometry[[#This Row],[Triceps]:[Subscapular]],Anthropometry[[#This Row],[Supraspinale]:[Calf]]))+2.585)</f>
        <v>7.7243899999999988</v>
      </c>
      <c r="AB384" s="6">
        <f>Anthropometry[[#This Row],[Upper arm girth - R]]-(PI()*(Anthropometry[[#This Row],[Triceps]]/10))</f>
        <v>31.10663736287945</v>
      </c>
      <c r="AC384" s="6">
        <f>Anthropometry[[#This Row],[Mid-thighs]]-PI()*(Anthropometry[[#This Row],[Thigh]]/10)</f>
        <v>60.635398464840982</v>
      </c>
      <c r="AD384" s="6">
        <f>Anthropometry[[#This Row],[Mid-calf]]-PI()*(Anthropometry[[#This Row],[Calf]]/10)</f>
        <v>35.577876260917918</v>
      </c>
      <c r="AE384" s="6">
        <v>17.5</v>
      </c>
      <c r="AF384" s="6">
        <v>36.94</v>
      </c>
    </row>
    <row r="385" spans="1:39" ht="15" customHeight="1">
      <c r="A385" t="s">
        <v>48</v>
      </c>
      <c r="B385" s="12">
        <v>45084</v>
      </c>
      <c r="C385" s="14">
        <v>0.32291666666666669</v>
      </c>
      <c r="D385" s="6">
        <v>185.5</v>
      </c>
      <c r="E385">
        <v>92.4</v>
      </c>
      <c r="G385" s="6">
        <f t="shared" si="22"/>
        <v>84.272117160000008</v>
      </c>
      <c r="H385" s="6">
        <f t="shared" si="23"/>
        <v>8.1278828399999981</v>
      </c>
      <c r="K385">
        <v>34.5</v>
      </c>
      <c r="L385" s="38">
        <v>86.6</v>
      </c>
      <c r="M385">
        <v>108.9</v>
      </c>
      <c r="N385">
        <v>60.2</v>
      </c>
      <c r="O385" s="6">
        <f t="shared" si="21"/>
        <v>183.19</v>
      </c>
      <c r="P385">
        <v>0</v>
      </c>
      <c r="Q385">
        <v>40.6</v>
      </c>
      <c r="R385">
        <v>8.9</v>
      </c>
      <c r="S385">
        <v>9.9</v>
      </c>
      <c r="T385">
        <v>4</v>
      </c>
      <c r="U385">
        <v>10.9</v>
      </c>
      <c r="V385">
        <v>10</v>
      </c>
      <c r="W385">
        <v>14.6</v>
      </c>
      <c r="X385">
        <v>8.4</v>
      </c>
      <c r="Y385">
        <v>7.3</v>
      </c>
      <c r="Z385">
        <f t="shared" si="24"/>
        <v>74</v>
      </c>
      <c r="AA385" s="6">
        <f>((0.1051*SUM(R385:S385,V385:Y385))+2.585)</f>
        <v>8.7964099999999981</v>
      </c>
      <c r="AB385" s="6">
        <f>Anthropometry[[#This Row],[Upper arm girth - R]]-(PI()*(Anthropometry[[#This Row],[Triceps]]/10))</f>
        <v>31.703982538305084</v>
      </c>
      <c r="AC385" s="6">
        <f>Anthropometry[[#This Row],[Mid-thighs]]-PI()*(Anthropometry[[#This Row],[Thigh]]/10)</f>
        <v>57.561062170984577</v>
      </c>
      <c r="AD385" s="6">
        <f>Anthropometry[[#This Row],[Mid-calf]]-PI()*(Anthropometry[[#This Row],[Calf]]/10)</f>
        <v>38.306637362879449</v>
      </c>
      <c r="AE385" s="6"/>
      <c r="AF385" s="6"/>
      <c r="AM385">
        <f>Anthropometry[[#This Row],[DEXA Pelvis (kg)]] + Anthropometry[[#This Row],[ DEXA LLM (kg)]]</f>
        <v>0</v>
      </c>
    </row>
    <row r="386" spans="1:39" ht="15" customHeight="1">
      <c r="A386" t="s">
        <v>55</v>
      </c>
      <c r="B386" s="12">
        <v>45119</v>
      </c>
      <c r="C386" s="14">
        <v>0.33333333333333331</v>
      </c>
      <c r="D386" s="6"/>
      <c r="E386">
        <v>91.8</v>
      </c>
      <c r="G386" s="6"/>
      <c r="H386" s="6"/>
      <c r="L386" s="38"/>
      <c r="O386" s="6"/>
      <c r="AA386" s="6"/>
      <c r="AB386" s="6"/>
      <c r="AC386" s="6"/>
      <c r="AD386" s="6"/>
      <c r="AE386" s="6">
        <v>18.47</v>
      </c>
      <c r="AF386" s="6">
        <v>36.869999999999997</v>
      </c>
    </row>
    <row r="387" spans="1:39" ht="15" customHeight="1">
      <c r="A387" t="s">
        <v>48</v>
      </c>
      <c r="B387" s="12">
        <v>45098</v>
      </c>
      <c r="C387" s="14">
        <v>0.32291666666666669</v>
      </c>
      <c r="D387" s="6">
        <v>185.5</v>
      </c>
      <c r="E387">
        <v>91.7</v>
      </c>
      <c r="G387" s="6">
        <f t="shared" ref="G387:G392" si="25">E387/100*(100-AA387)</f>
        <v>83.80717009</v>
      </c>
      <c r="H387" s="6">
        <f t="shared" ref="H387:H392" si="26">E387/100*AA387</f>
        <v>7.8928299099999997</v>
      </c>
      <c r="K387">
        <v>34.5</v>
      </c>
      <c r="L387" s="38">
        <v>85.2</v>
      </c>
      <c r="M387">
        <v>107.2</v>
      </c>
      <c r="N387">
        <v>59.6</v>
      </c>
      <c r="O387" s="6">
        <f t="shared" ref="O387:O395" si="27">(((4.68*N387)-(2.09*X387))-80.99)</f>
        <v>181.21799999999996</v>
      </c>
      <c r="P387">
        <v>0</v>
      </c>
      <c r="Q387">
        <v>40.299999999999997</v>
      </c>
      <c r="R387">
        <v>8.6999999999999993</v>
      </c>
      <c r="S387">
        <v>9.6999999999999993</v>
      </c>
      <c r="T387">
        <v>4.3</v>
      </c>
      <c r="U387">
        <v>10.7</v>
      </c>
      <c r="V387">
        <v>9.1999999999999993</v>
      </c>
      <c r="W387">
        <v>15.3</v>
      </c>
      <c r="X387">
        <v>8</v>
      </c>
      <c r="Y387">
        <v>6.4</v>
      </c>
      <c r="Z387">
        <f t="shared" ref="Z387:Z395" si="28">SUM(R387:Y387)</f>
        <v>72.3</v>
      </c>
      <c r="AA387" s="6">
        <f>((0.1051*SUM(R387:S387,V387:Y387))+2.585)</f>
        <v>8.6072299999999995</v>
      </c>
      <c r="AB387" s="6">
        <f>Anthropometry[[#This Row],[Upper arm girth - R]]-(PI()*(Anthropometry[[#This Row],[Triceps]]/10))</f>
        <v>31.766814391376879</v>
      </c>
      <c r="AC387" s="6">
        <f>Anthropometry[[#This Row],[Mid-thighs]]-PI()*(Anthropometry[[#This Row],[Thigh]]/10)</f>
        <v>57.086725877128167</v>
      </c>
      <c r="AD387" s="6">
        <f>Anthropometry[[#This Row],[Mid-calf]]-PI()*(Anthropometry[[#This Row],[Calf]]/10)</f>
        <v>38.289380701702527</v>
      </c>
      <c r="AE387" s="6">
        <v>13.73</v>
      </c>
      <c r="AF387" s="6">
        <v>38.92</v>
      </c>
      <c r="AM387">
        <f>Anthropometry[[#This Row],[DEXA Pelvis (kg)]] + Anthropometry[[#This Row],[ DEXA LLM (kg)]]</f>
        <v>0</v>
      </c>
    </row>
    <row r="388" spans="1:39" ht="15" customHeight="1">
      <c r="A388" t="s">
        <v>55</v>
      </c>
      <c r="B388" s="12">
        <v>45133</v>
      </c>
      <c r="C388" s="14">
        <v>0.3125</v>
      </c>
      <c r="D388" s="6">
        <v>183</v>
      </c>
      <c r="E388">
        <v>90.8</v>
      </c>
      <c r="G388" s="6">
        <f t="shared" si="25"/>
        <v>83.919856999999993</v>
      </c>
      <c r="H388" s="6">
        <f t="shared" si="26"/>
        <v>6.8801429999999995</v>
      </c>
      <c r="K388">
        <v>32.5</v>
      </c>
      <c r="L388">
        <v>84.4</v>
      </c>
      <c r="M388">
        <v>107.1</v>
      </c>
      <c r="N388">
        <v>62.6</v>
      </c>
      <c r="O388" s="6">
        <f t="shared" si="27"/>
        <v>192.74999999999994</v>
      </c>
      <c r="Q388">
        <v>37.5</v>
      </c>
      <c r="R388">
        <v>7.4</v>
      </c>
      <c r="S388">
        <v>7.6</v>
      </c>
      <c r="T388">
        <v>3.2</v>
      </c>
      <c r="U388">
        <v>8.3000000000000007</v>
      </c>
      <c r="V388">
        <v>6.5</v>
      </c>
      <c r="W388">
        <v>11.2</v>
      </c>
      <c r="X388">
        <v>9.1999999999999993</v>
      </c>
      <c r="Y388">
        <v>5.6</v>
      </c>
      <c r="Z388">
        <f t="shared" si="28"/>
        <v>59.000000000000007</v>
      </c>
      <c r="AA388" s="6">
        <f>((0.1051*SUM(Anthropometry[[#This Row],[Triceps]:[Subscapular]],Anthropometry[[#This Row],[Supraspinale]:[Calf]]))+2.585)</f>
        <v>7.5772500000000003</v>
      </c>
      <c r="AB388" s="6">
        <f>Anthropometry[[#This Row],[Upper arm girth - R]]-(PI()*(Anthropometry[[#This Row],[Triceps]]/10))</f>
        <v>30.175221436343552</v>
      </c>
      <c r="AC388" s="6">
        <f>Anthropometry[[#This Row],[Mid-thighs]]-PI()*(Anthropometry[[#This Row],[Thigh]]/10)</f>
        <v>59.709734758697394</v>
      </c>
      <c r="AD388" s="6">
        <f>Anthropometry[[#This Row],[Mid-calf]]-PI()*(Anthropometry[[#This Row],[Calf]]/10)</f>
        <v>35.740708113989719</v>
      </c>
      <c r="AE388" s="6"/>
      <c r="AF388" s="6"/>
    </row>
    <row r="389" spans="1:39" ht="15" customHeight="1">
      <c r="A389" t="s">
        <v>55</v>
      </c>
      <c r="B389" s="12">
        <v>45182</v>
      </c>
      <c r="C389" s="14">
        <v>0.3125</v>
      </c>
      <c r="D389" s="6">
        <v>182.8</v>
      </c>
      <c r="E389">
        <v>93.1</v>
      </c>
      <c r="G389" s="6">
        <f t="shared" si="25"/>
        <v>85.38021316999999</v>
      </c>
      <c r="H389" s="6">
        <f t="shared" si="26"/>
        <v>7.7197868300000003</v>
      </c>
      <c r="K389">
        <v>32.6</v>
      </c>
      <c r="L389">
        <v>86.2</v>
      </c>
      <c r="M389">
        <v>108.5</v>
      </c>
      <c r="N389">
        <v>63.8</v>
      </c>
      <c r="O389" s="6">
        <f t="shared" si="27"/>
        <v>198.15699999999993</v>
      </c>
      <c r="Q389">
        <v>37.5</v>
      </c>
      <c r="R389">
        <v>9.3000000000000007</v>
      </c>
      <c r="S389">
        <v>8.4</v>
      </c>
      <c r="T389">
        <v>3.8</v>
      </c>
      <c r="U389">
        <v>7.8</v>
      </c>
      <c r="V389">
        <v>7.2</v>
      </c>
      <c r="W389">
        <v>14</v>
      </c>
      <c r="X389">
        <v>9.3000000000000007</v>
      </c>
      <c r="Y389">
        <v>6.1</v>
      </c>
      <c r="Z389">
        <f t="shared" si="28"/>
        <v>65.900000000000006</v>
      </c>
      <c r="AA389" s="6">
        <f>((0.1051*SUM(Anthropometry[[#This Row],[Triceps]:[Subscapular]],Anthropometry[[#This Row],[Supraspinale]:[Calf]]))+2.585)</f>
        <v>8.2919300000000007</v>
      </c>
      <c r="AB389" s="6">
        <f>Anthropometry[[#This Row],[Upper arm girth - R]]-(PI()*(Anthropometry[[#This Row],[Triceps]]/10))</f>
        <v>29.678318832161494</v>
      </c>
      <c r="AC389" s="6">
        <f>Anthropometry[[#This Row],[Mid-thighs]]-PI()*(Anthropometry[[#This Row],[Thigh]]/10)</f>
        <v>60.87831883216149</v>
      </c>
      <c r="AD389" s="6">
        <f>Anthropometry[[#This Row],[Mid-calf]]-PI()*(Anthropometry[[#This Row],[Calf]]/10)</f>
        <v>35.583628481310228</v>
      </c>
      <c r="AE389" s="6">
        <v>20.63</v>
      </c>
      <c r="AF389" s="6">
        <v>36.299999999999997</v>
      </c>
    </row>
    <row r="390" spans="1:39" ht="15" customHeight="1">
      <c r="A390" t="s">
        <v>55</v>
      </c>
      <c r="B390" s="12">
        <v>45198</v>
      </c>
      <c r="C390" s="14">
        <v>0.3125</v>
      </c>
      <c r="D390" s="6">
        <v>182.4</v>
      </c>
      <c r="E390">
        <v>93.3</v>
      </c>
      <c r="G390" s="6">
        <f t="shared" si="25"/>
        <v>85.975474169999998</v>
      </c>
      <c r="H390" s="6">
        <f t="shared" si="26"/>
        <v>7.3245258299999989</v>
      </c>
      <c r="K390">
        <v>33.1</v>
      </c>
      <c r="L390">
        <v>85.6</v>
      </c>
      <c r="M390">
        <v>108.1</v>
      </c>
      <c r="N390">
        <v>63.9</v>
      </c>
      <c r="O390" s="6">
        <f t="shared" si="27"/>
        <v>200.71499999999997</v>
      </c>
      <c r="Q390">
        <v>37.799999999999997</v>
      </c>
      <c r="R390">
        <v>8.5</v>
      </c>
      <c r="S390">
        <v>8.3000000000000007</v>
      </c>
      <c r="T390">
        <v>3.3</v>
      </c>
      <c r="U390">
        <v>7.3</v>
      </c>
      <c r="V390">
        <v>6.3</v>
      </c>
      <c r="W390">
        <v>12.7</v>
      </c>
      <c r="X390">
        <v>8.3000000000000007</v>
      </c>
      <c r="Y390">
        <v>6</v>
      </c>
      <c r="Z390">
        <f t="shared" si="28"/>
        <v>60.7</v>
      </c>
      <c r="AA390" s="6">
        <f>((0.1051*SUM(Anthropometry[[#This Row],[Triceps]:[Subscapular]],Anthropometry[[#This Row],[Supraspinale]:[Calf]]))+2.585)</f>
        <v>7.850509999999999</v>
      </c>
      <c r="AB390" s="6">
        <f>Anthropometry[[#This Row],[Upper arm girth - R]]-(PI()*(Anthropometry[[#This Row],[Triceps]]/10))</f>
        <v>30.429646244448676</v>
      </c>
      <c r="AC390" s="6">
        <f>Anthropometry[[#This Row],[Mid-thighs]]-PI()*(Anthropometry[[#This Row],[Thigh]]/10)</f>
        <v>61.292478097520473</v>
      </c>
      <c r="AD390" s="6">
        <f>Anthropometry[[#This Row],[Mid-calf]]-PI()*(Anthropometry[[#This Row],[Calf]]/10)</f>
        <v>35.915044407846125</v>
      </c>
      <c r="AE390" s="6">
        <v>19.579999999999998</v>
      </c>
      <c r="AF390" s="6">
        <v>37.130000000000003</v>
      </c>
    </row>
    <row r="391" spans="1:39" ht="15" customHeight="1">
      <c r="A391" t="s">
        <v>48</v>
      </c>
      <c r="B391" s="12">
        <v>45177</v>
      </c>
      <c r="C391" s="14">
        <v>0.3125</v>
      </c>
      <c r="D391" s="6">
        <v>185.5</v>
      </c>
      <c r="E391">
        <v>92.5</v>
      </c>
      <c r="G391" s="6">
        <f t="shared" si="25"/>
        <v>84.820243000000005</v>
      </c>
      <c r="H391" s="6">
        <f t="shared" si="26"/>
        <v>7.6797570000000013</v>
      </c>
      <c r="K391">
        <v>35.299999999999997</v>
      </c>
      <c r="L391">
        <v>85.4</v>
      </c>
      <c r="M391">
        <v>107.4</v>
      </c>
      <c r="N391">
        <v>60.4</v>
      </c>
      <c r="O391" s="6">
        <f t="shared" si="27"/>
        <v>184.54399999999998</v>
      </c>
      <c r="P391">
        <v>0</v>
      </c>
      <c r="Q391">
        <v>41</v>
      </c>
      <c r="R391">
        <v>9.1999999999999993</v>
      </c>
      <c r="S391">
        <v>9.6999999999999993</v>
      </c>
      <c r="T391">
        <v>3.6</v>
      </c>
      <c r="U391">
        <v>11.2</v>
      </c>
      <c r="V391">
        <v>7.9</v>
      </c>
      <c r="W391">
        <v>13</v>
      </c>
      <c r="X391">
        <v>8.1999999999999993</v>
      </c>
      <c r="Y391">
        <v>6.4</v>
      </c>
      <c r="Z391">
        <f t="shared" si="28"/>
        <v>69.2</v>
      </c>
      <c r="AA391" s="6">
        <f>((0.1051*SUM(R391:S391,V391:Y391))+2.585)</f>
        <v>8.3024400000000007</v>
      </c>
      <c r="AB391" s="6">
        <f>Anthropometry[[#This Row],[Upper arm girth - R]]-(PI()*(Anthropometry[[#This Row],[Triceps]]/10))</f>
        <v>32.40973475869739</v>
      </c>
      <c r="AC391" s="6">
        <f>Anthropometry[[#This Row],[Mid-thighs]]-PI()*(Anthropometry[[#This Row],[Thigh]]/10)</f>
        <v>57.823894024056372</v>
      </c>
      <c r="AD391" s="6">
        <f>Anthropometry[[#This Row],[Mid-calf]]-PI()*(Anthropometry[[#This Row],[Calf]]/10)</f>
        <v>38.98938070170253</v>
      </c>
      <c r="AE391" s="6">
        <v>15.87</v>
      </c>
      <c r="AF391" s="6">
        <v>38.369999999999997</v>
      </c>
      <c r="AM391">
        <f>Anthropometry[[#This Row],[DEXA Pelvis (kg)]] + Anthropometry[[#This Row],[ DEXA LLM (kg)]]</f>
        <v>0</v>
      </c>
    </row>
    <row r="392" spans="1:39" ht="15" customHeight="1">
      <c r="A392" t="s">
        <v>55</v>
      </c>
      <c r="B392" s="12">
        <v>45210</v>
      </c>
      <c r="C392" s="14">
        <v>0.3125</v>
      </c>
      <c r="D392" s="6">
        <v>182.7</v>
      </c>
      <c r="E392">
        <v>94.5</v>
      </c>
      <c r="G392" s="6">
        <f t="shared" si="25"/>
        <v>86.654194199999992</v>
      </c>
      <c r="H392" s="6">
        <f t="shared" si="26"/>
        <v>7.8458057999999999</v>
      </c>
      <c r="K392">
        <v>34</v>
      </c>
      <c r="L392">
        <v>87.8</v>
      </c>
      <c r="M392">
        <v>107.4</v>
      </c>
      <c r="N392">
        <v>63.8</v>
      </c>
      <c r="O392" s="6">
        <f t="shared" si="27"/>
        <v>197.52999999999992</v>
      </c>
      <c r="P392" s="6"/>
      <c r="Q392">
        <v>37.6</v>
      </c>
      <c r="R392">
        <v>9.3000000000000007</v>
      </c>
      <c r="S392">
        <v>8.6</v>
      </c>
      <c r="T392">
        <v>3.6</v>
      </c>
      <c r="U392">
        <v>9.8000000000000007</v>
      </c>
      <c r="V392">
        <v>7.2</v>
      </c>
      <c r="W392">
        <v>12.5</v>
      </c>
      <c r="X392">
        <v>9.6</v>
      </c>
      <c r="Y392">
        <v>7.2</v>
      </c>
      <c r="Z392">
        <f t="shared" si="28"/>
        <v>67.8</v>
      </c>
      <c r="AA392" s="6">
        <f>((0.1051*SUM(Anthropometry[[#This Row],[Triceps]:[Subscapular]],Anthropometry[[#This Row],[Supraspinale]:[Calf]]))+2.585)</f>
        <v>8.3024400000000007</v>
      </c>
      <c r="AB392" s="6">
        <f>Anthropometry[[#This Row],[Upper arm girth - R]]-(PI()*(Anthropometry[[#This Row],[Triceps]]/10))</f>
        <v>31.078318832161493</v>
      </c>
      <c r="AC392" s="6">
        <f>Anthropometry[[#This Row],[Mid-thighs]]-PI()*(Anthropometry[[#This Row],[Thigh]]/10)</f>
        <v>60.784071052553799</v>
      </c>
      <c r="AD392" s="6">
        <f>Anthropometry[[#This Row],[Mid-calf]]-PI()*(Anthropometry[[#This Row],[Calf]]/10)</f>
        <v>35.338053289415349</v>
      </c>
      <c r="AE392" s="6">
        <v>20.010000000000002</v>
      </c>
      <c r="AF392" s="6">
        <v>37.159999999999997</v>
      </c>
    </row>
    <row r="393" spans="1:39" ht="15" customHeight="1">
      <c r="A393" s="29" t="s">
        <v>55</v>
      </c>
      <c r="B393" s="31">
        <v>45251</v>
      </c>
      <c r="C393" s="33">
        <v>0.3125</v>
      </c>
      <c r="D393" s="35">
        <v>182.2</v>
      </c>
      <c r="E393" s="36">
        <v>95</v>
      </c>
      <c r="F393" s="36"/>
      <c r="G393" s="35">
        <v>86.9</v>
      </c>
      <c r="H393" s="35">
        <v>8.1</v>
      </c>
      <c r="K393" s="29">
        <v>33.5</v>
      </c>
      <c r="L393">
        <v>87.7</v>
      </c>
      <c r="M393" s="29">
        <v>109.8</v>
      </c>
      <c r="N393" s="29">
        <v>64.400000000000006</v>
      </c>
      <c r="O393" s="6">
        <f t="shared" si="27"/>
        <v>199.084</v>
      </c>
      <c r="Q393" s="29">
        <v>38</v>
      </c>
      <c r="R393" s="29">
        <v>10.199999999999999</v>
      </c>
      <c r="S393" s="29">
        <v>8.3000000000000007</v>
      </c>
      <c r="T393" s="29">
        <v>3.6</v>
      </c>
      <c r="U393" s="29">
        <v>9.8000000000000007</v>
      </c>
      <c r="V393" s="29">
        <v>6.8</v>
      </c>
      <c r="W393" s="29">
        <v>15.2</v>
      </c>
      <c r="X393" s="29">
        <v>10.199999999999999</v>
      </c>
      <c r="Y393" s="29">
        <v>6.3</v>
      </c>
      <c r="Z393">
        <f t="shared" si="28"/>
        <v>70.400000000000006</v>
      </c>
      <c r="AA393" s="6">
        <f>((0.1051*SUM(Anthropometry[[#This Row],[Triceps]:[Subscapular]],Anthropometry[[#This Row],[Supraspinale]:[Calf]]))+2.585)</f>
        <v>8.5757000000000012</v>
      </c>
      <c r="AB393" s="6">
        <f>Anthropometry[[#This Row],[Upper arm girth - R]]-(PI()*(Anthropometry[[#This Row],[Triceps]]/10))</f>
        <v>30.295575493338411</v>
      </c>
      <c r="AC393" s="6">
        <f>Anthropometry[[#This Row],[Mid-thighs]]-PI()*(Anthropometry[[#This Row],[Thigh]]/10)</f>
        <v>61.195575493338417</v>
      </c>
      <c r="AD393" s="6">
        <f>Anthropometry[[#This Row],[Mid-calf]]-PI()*(Anthropometry[[#This Row],[Calf]]/10)</f>
        <v>36.020796628238429</v>
      </c>
      <c r="AE393" s="29">
        <v>18.600000000000001</v>
      </c>
      <c r="AF393" s="29">
        <v>38.299999999999997</v>
      </c>
    </row>
    <row r="394" spans="1:39" ht="15" customHeight="1">
      <c r="A394" t="s">
        <v>48</v>
      </c>
      <c r="B394" s="12">
        <v>45197</v>
      </c>
      <c r="C394" s="14">
        <v>0.3125</v>
      </c>
      <c r="D394" s="6">
        <v>184.9</v>
      </c>
      <c r="E394">
        <v>93.3</v>
      </c>
      <c r="G394" s="6">
        <f>E394/100*(100-AA394)</f>
        <v>85.906833359999993</v>
      </c>
      <c r="H394" s="6">
        <f>E394/100*AA394</f>
        <v>7.3931666399999996</v>
      </c>
      <c r="K394">
        <v>35.6</v>
      </c>
      <c r="L394">
        <v>85.5</v>
      </c>
      <c r="M394">
        <v>106.7</v>
      </c>
      <c r="N394">
        <v>60.1</v>
      </c>
      <c r="O394" s="6">
        <f t="shared" si="27"/>
        <v>183.34899999999999</v>
      </c>
      <c r="P394">
        <v>0</v>
      </c>
      <c r="Q394">
        <v>41.2</v>
      </c>
      <c r="R394">
        <v>8.4</v>
      </c>
      <c r="S394">
        <v>9.6999999999999993</v>
      </c>
      <c r="T394">
        <v>3.6</v>
      </c>
      <c r="U394">
        <v>10.6</v>
      </c>
      <c r="V394">
        <v>7.6</v>
      </c>
      <c r="W394">
        <v>11.1</v>
      </c>
      <c r="X394">
        <v>8.1</v>
      </c>
      <c r="Y394">
        <v>5.9</v>
      </c>
      <c r="Z394">
        <f t="shared" si="28"/>
        <v>65.000000000000014</v>
      </c>
      <c r="AA394" s="6">
        <f>((0.1051*SUM(R394:S394,V394:Y394))+2.585)</f>
        <v>7.92408</v>
      </c>
      <c r="AB394" s="6">
        <f>Anthropometry[[#This Row],[Upper arm girth - R]]-(PI()*(Anthropometry[[#This Row],[Triceps]]/10))</f>
        <v>32.961062170984576</v>
      </c>
      <c r="AC394" s="6">
        <f>Anthropometry[[#This Row],[Mid-thighs]]-PI()*(Anthropometry[[#This Row],[Thigh]]/10)</f>
        <v>57.555309950592267</v>
      </c>
      <c r="AD394" s="6">
        <f>Anthropometry[[#This Row],[Mid-calf]]-PI()*(Anthropometry[[#This Row],[Calf]]/10)</f>
        <v>39.346460334382023</v>
      </c>
      <c r="AE394" s="6">
        <v>14.57</v>
      </c>
      <c r="AF394" s="6">
        <v>39.299999999999997</v>
      </c>
      <c r="AM394">
        <f>Anthropometry[[#This Row],[DEXA Pelvis (kg)]] + Anthropometry[[#This Row],[ DEXA LLM (kg)]]</f>
        <v>0</v>
      </c>
    </row>
    <row r="395" spans="1:39" ht="15" customHeight="1">
      <c r="A395" t="s">
        <v>55</v>
      </c>
      <c r="B395" s="12">
        <v>45273</v>
      </c>
      <c r="C395" s="14">
        <v>0.3125</v>
      </c>
      <c r="D395">
        <v>181.6</v>
      </c>
      <c r="E395">
        <v>94.8</v>
      </c>
      <c r="G395">
        <v>86.7</v>
      </c>
      <c r="H395">
        <v>8.1</v>
      </c>
      <c r="K395">
        <v>33.5</v>
      </c>
      <c r="L395">
        <v>86.5</v>
      </c>
      <c r="M395">
        <v>108.9</v>
      </c>
      <c r="N395">
        <v>64.599999999999994</v>
      </c>
      <c r="O395" s="6">
        <f t="shared" si="27"/>
        <v>200.01999999999998</v>
      </c>
      <c r="Q395">
        <v>38</v>
      </c>
      <c r="R395">
        <v>9.9</v>
      </c>
      <c r="S395">
        <v>8.6999999999999993</v>
      </c>
      <c r="T395">
        <v>3.8</v>
      </c>
      <c r="U395">
        <v>8.3000000000000007</v>
      </c>
      <c r="V395">
        <v>6.7</v>
      </c>
      <c r="W395">
        <v>14.7</v>
      </c>
      <c r="X395">
        <v>10.199999999999999</v>
      </c>
      <c r="Y395">
        <v>6.5</v>
      </c>
      <c r="Z395">
        <f t="shared" si="28"/>
        <v>68.800000000000011</v>
      </c>
      <c r="AA395">
        <v>8.5</v>
      </c>
      <c r="AB395" s="6">
        <f>Anthropometry[[#This Row],[Upper arm girth - R]]-(PI()*(Anthropometry[[#This Row],[Triceps]]/10))</f>
        <v>30.389823272946103</v>
      </c>
      <c r="AC395" s="6">
        <f>Anthropometry[[#This Row],[Mid-thighs]]-PI()*(Anthropometry[[#This Row],[Thigh]]/10)</f>
        <v>61.395575493338406</v>
      </c>
      <c r="AD395" s="6">
        <f>Anthropometry[[#This Row],[Mid-calf]]-PI()*(Anthropometry[[#This Row],[Calf]]/10)</f>
        <v>35.957964775166637</v>
      </c>
    </row>
    <row r="396" spans="1:39" ht="15" customHeight="1">
      <c r="A396" t="s">
        <v>48</v>
      </c>
      <c r="B396" s="12">
        <v>45204</v>
      </c>
      <c r="C396" s="14">
        <v>0.33333333333333331</v>
      </c>
      <c r="D396" s="6">
        <v>186</v>
      </c>
      <c r="E396">
        <v>93</v>
      </c>
      <c r="G396" s="6">
        <v>0</v>
      </c>
      <c r="H396" s="6">
        <v>0</v>
      </c>
      <c r="K396">
        <v>0</v>
      </c>
      <c r="L396">
        <v>0</v>
      </c>
      <c r="M396">
        <v>0</v>
      </c>
      <c r="N396">
        <v>0</v>
      </c>
      <c r="O396" s="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s="6">
        <v>0</v>
      </c>
      <c r="AB396" s="6">
        <f>Anthropometry[[#This Row],[Upper arm girth - R]]-(PI()*(Anthropometry[[#This Row],[Triceps]]/10))</f>
        <v>0</v>
      </c>
      <c r="AC396" s="6">
        <f>Anthropometry[[#This Row],[Mid-thighs]]-PI()*(Anthropometry[[#This Row],[Thigh]]/10)</f>
        <v>0</v>
      </c>
      <c r="AD396" s="6">
        <f>Anthropometry[[#This Row],[Mid-calf]]-PI()*(Anthropometry[[#This Row],[Calf]]/10)</f>
        <v>0</v>
      </c>
      <c r="AE396" s="6"/>
      <c r="AF396" s="6"/>
      <c r="AG396">
        <v>81.2</v>
      </c>
      <c r="AH396">
        <v>14.8</v>
      </c>
      <c r="AI396">
        <v>75.7</v>
      </c>
      <c r="AJ396">
        <v>13.8</v>
      </c>
      <c r="AK396">
        <v>27.8</v>
      </c>
      <c r="AL396">
        <v>10.5</v>
      </c>
      <c r="AM396">
        <f>Anthropometry[[#This Row],[DEXA Pelvis (kg)]] + Anthropometry[[#This Row],[ DEXA LLM (kg)]]</f>
        <v>38.299999999999997</v>
      </c>
    </row>
    <row r="397" spans="1:39" ht="15" customHeight="1">
      <c r="A397" t="s">
        <v>55</v>
      </c>
      <c r="B397" s="12">
        <v>45317</v>
      </c>
      <c r="C397" s="14">
        <v>0.3125</v>
      </c>
      <c r="D397">
        <v>182.6</v>
      </c>
      <c r="E397">
        <v>94.5</v>
      </c>
      <c r="G397">
        <v>86.9</v>
      </c>
      <c r="H397">
        <v>7.6</v>
      </c>
      <c r="K397">
        <v>31.3</v>
      </c>
      <c r="L397">
        <v>87</v>
      </c>
      <c r="M397">
        <v>108.1</v>
      </c>
      <c r="N397">
        <v>65.3</v>
      </c>
      <c r="O397" s="6">
        <f>(((4.68*N397)-(2.09*X397))-80.99)</f>
        <v>203.505</v>
      </c>
      <c r="Q397">
        <v>38.1</v>
      </c>
      <c r="R397">
        <v>9.1999999999999993</v>
      </c>
      <c r="S397">
        <v>7.8</v>
      </c>
      <c r="T397">
        <v>3.6</v>
      </c>
      <c r="U397">
        <v>6.3</v>
      </c>
      <c r="V397">
        <v>6.4</v>
      </c>
      <c r="W397">
        <v>11.9</v>
      </c>
      <c r="X397">
        <v>10.1</v>
      </c>
      <c r="Y397">
        <v>6.5</v>
      </c>
      <c r="Z397">
        <f>SUM(R397:Y397)</f>
        <v>61.800000000000004</v>
      </c>
      <c r="AA397">
        <v>8</v>
      </c>
      <c r="AB397" s="6">
        <f>Anthropometry[[#This Row],[Upper arm girth - R]]-(PI()*(Anthropometry[[#This Row],[Triceps]]/10))</f>
        <v>28.40973475869739</v>
      </c>
      <c r="AC397" s="6">
        <f>Anthropometry[[#This Row],[Mid-thighs]]-PI()*(Anthropometry[[#This Row],[Thigh]]/10)</f>
        <v>62.126991419874308</v>
      </c>
      <c r="AD397" s="6">
        <f>Anthropometry[[#This Row],[Mid-calf]]-PI()*(Anthropometry[[#This Row],[Calf]]/10)</f>
        <v>36.057964775166639</v>
      </c>
      <c r="AE397">
        <v>17.2</v>
      </c>
      <c r="AF397">
        <v>38.6</v>
      </c>
    </row>
    <row r="398" spans="1:39" ht="15" customHeight="1">
      <c r="A398" t="s">
        <v>48</v>
      </c>
      <c r="B398" s="12">
        <v>45212</v>
      </c>
      <c r="C398" s="14">
        <v>0.3125</v>
      </c>
      <c r="D398" s="6">
        <v>184.5</v>
      </c>
      <c r="E398">
        <v>93</v>
      </c>
      <c r="G398" s="6">
        <f>E398/100*(100-AA398)</f>
        <v>85.474216800000008</v>
      </c>
      <c r="H398" s="6">
        <f>E398/100*AA398</f>
        <v>7.5257832000000011</v>
      </c>
      <c r="K398">
        <v>35.299999999999997</v>
      </c>
      <c r="L398">
        <v>84.8</v>
      </c>
      <c r="M398">
        <v>106.5</v>
      </c>
      <c r="N398">
        <v>60.58</v>
      </c>
      <c r="O398" s="6">
        <f>(((4.68*N398)-(2.09*X398))-80.99)</f>
        <v>186.22239999999994</v>
      </c>
      <c r="P398">
        <v>0</v>
      </c>
      <c r="Q398">
        <v>40.9</v>
      </c>
      <c r="R398">
        <v>8.6999999999999993</v>
      </c>
      <c r="S398">
        <v>10</v>
      </c>
      <c r="T398">
        <v>3.4</v>
      </c>
      <c r="U398">
        <v>10.1</v>
      </c>
      <c r="V398">
        <v>8.6</v>
      </c>
      <c r="W398">
        <v>11.2</v>
      </c>
      <c r="X398">
        <v>7.8</v>
      </c>
      <c r="Y398">
        <v>6.1</v>
      </c>
      <c r="Z398">
        <f>SUM(R398:Y398)</f>
        <v>65.899999999999991</v>
      </c>
      <c r="AA398" s="6">
        <f>((0.1051*SUM(R398:S398,V398:Y398))+2.585)</f>
        <v>8.0922400000000003</v>
      </c>
      <c r="AB398" s="6">
        <f>Anthropometry[[#This Row],[Upper arm girth - R]]-(PI()*(Anthropometry[[#This Row],[Triceps]]/10))</f>
        <v>32.56681439137688</v>
      </c>
      <c r="AC398" s="6">
        <f>Anthropometry[[#This Row],[Mid-thighs]]-PI()*(Anthropometry[[#This Row],[Thigh]]/10)</f>
        <v>58.129557730199963</v>
      </c>
      <c r="AD398" s="6">
        <f>Anthropometry[[#This Row],[Mid-calf]]-PI()*(Anthropometry[[#This Row],[Calf]]/10)</f>
        <v>38.983628481310227</v>
      </c>
      <c r="AE398" s="6">
        <v>14.62</v>
      </c>
      <c r="AF398" s="6">
        <v>38.68</v>
      </c>
    </row>
    <row r="399" spans="1:39" ht="15" customHeight="1">
      <c r="A399" t="s">
        <v>51</v>
      </c>
      <c r="B399" s="12">
        <v>45217</v>
      </c>
      <c r="C399" s="14">
        <v>0.34375</v>
      </c>
      <c r="D399" s="6">
        <v>172</v>
      </c>
      <c r="E399">
        <v>72.8</v>
      </c>
      <c r="F399" s="6">
        <f>(E399/((D399/100)*(D399/100)))</f>
        <v>24.607896160086536</v>
      </c>
      <c r="G399" s="6">
        <f>E399/100*(100-AA399)</f>
        <v>61.719141119999996</v>
      </c>
      <c r="H399" s="6">
        <f>E399/100*AA399</f>
        <v>11.080858879999999</v>
      </c>
      <c r="K399">
        <v>31.3</v>
      </c>
      <c r="L399">
        <v>73.099999999999994</v>
      </c>
      <c r="M399">
        <v>104</v>
      </c>
      <c r="N399" s="6">
        <v>60.3</v>
      </c>
      <c r="O399" s="6"/>
      <c r="Q399">
        <v>37.4</v>
      </c>
      <c r="R399">
        <v>15.7</v>
      </c>
      <c r="S399">
        <v>10.6</v>
      </c>
      <c r="T399">
        <v>7.2</v>
      </c>
      <c r="U399">
        <v>15.6</v>
      </c>
      <c r="V399">
        <v>8</v>
      </c>
      <c r="W399">
        <v>15.1</v>
      </c>
      <c r="X399">
        <v>17.8</v>
      </c>
      <c r="Y399">
        <v>8</v>
      </c>
      <c r="Z399">
        <f>SUM(R399:Y399)</f>
        <v>98</v>
      </c>
      <c r="AA399" s="6">
        <f>((0.1548*SUM(R399:S399,V399:Y399))+3.58)</f>
        <v>15.22096</v>
      </c>
      <c r="AB399" s="6">
        <f>Anthropometry[[#This Row],[Upper arm girth - R]]-(PI()*(Anthropometry[[#This Row],[Triceps]]/10))</f>
        <v>26.367699533864027</v>
      </c>
      <c r="AC399" s="6">
        <f>Anthropometry[[#This Row],[Mid-thighs]]-PI()*(Anthropometry[[#This Row],[Thigh]]/10)</f>
        <v>54.707965076610165</v>
      </c>
      <c r="AD399" s="6">
        <f>Anthropometry[[#This Row],[Mid-calf]]-PI()*(Anthropometry[[#This Row],[Calf]]/10)</f>
        <v>34.886725877128164</v>
      </c>
      <c r="AE399" s="6">
        <v>19.5</v>
      </c>
      <c r="AF399" s="6">
        <v>25.6</v>
      </c>
    </row>
    <row r="400" spans="1:39" ht="15" customHeight="1">
      <c r="A400" t="s">
        <v>55</v>
      </c>
      <c r="B400" s="12">
        <v>45349</v>
      </c>
      <c r="C400" s="14">
        <v>0.3125</v>
      </c>
      <c r="D400">
        <v>183.2</v>
      </c>
      <c r="E400">
        <v>92.9</v>
      </c>
      <c r="G400">
        <v>85.7</v>
      </c>
      <c r="H400">
        <v>7.2</v>
      </c>
      <c r="K400">
        <v>32.9</v>
      </c>
      <c r="L400">
        <v>84.6</v>
      </c>
      <c r="M400">
        <v>109</v>
      </c>
      <c r="N400">
        <v>64.5</v>
      </c>
      <c r="O400" s="6">
        <f>(((4.68*N400)-(2.09*X400))-80.99)</f>
        <v>203.73199999999997</v>
      </c>
      <c r="Q400">
        <v>37.9</v>
      </c>
      <c r="R400">
        <v>9.1</v>
      </c>
      <c r="S400">
        <v>8.1999999999999993</v>
      </c>
      <c r="T400">
        <v>3.6</v>
      </c>
      <c r="U400">
        <v>8.1999999999999993</v>
      </c>
      <c r="V400">
        <v>6.1</v>
      </c>
      <c r="W400">
        <v>11.6</v>
      </c>
      <c r="X400">
        <v>8.1999999999999993</v>
      </c>
      <c r="Y400">
        <v>6.3</v>
      </c>
      <c r="Z400">
        <f>SUM(R400:Y400)</f>
        <v>61.3</v>
      </c>
      <c r="AA400">
        <v>7.8</v>
      </c>
      <c r="AB400" s="6">
        <f>Anthropometry[[#This Row],[Upper arm girth - R]]-(PI()*(Anthropometry[[#This Row],[Triceps]]/10))</f>
        <v>30.041150685233287</v>
      </c>
      <c r="AC400" s="6">
        <f>Anthropometry[[#This Row],[Mid-thighs]]-PI()*(Anthropometry[[#This Row],[Thigh]]/10)</f>
        <v>61.923894024056366</v>
      </c>
      <c r="AD400" s="6">
        <f>Anthropometry[[#This Row],[Mid-calf]]-PI()*(Anthropometry[[#This Row],[Calf]]/10)</f>
        <v>35.920796628238428</v>
      </c>
      <c r="AE400">
        <v>17.899999999999999</v>
      </c>
      <c r="AF400">
        <v>37.799999999999997</v>
      </c>
    </row>
    <row r="401" spans="1:40" ht="15" customHeight="1">
      <c r="A401" s="30" t="s">
        <v>55</v>
      </c>
      <c r="B401" s="32">
        <v>45393</v>
      </c>
      <c r="C401" s="34">
        <v>0.3125</v>
      </c>
      <c r="D401" s="51">
        <v>182.9</v>
      </c>
      <c r="E401" s="37">
        <v>93.4</v>
      </c>
      <c r="F401" s="37"/>
      <c r="G401" s="37">
        <v>85.7</v>
      </c>
      <c r="H401" s="37">
        <v>7.2</v>
      </c>
      <c r="K401" s="38">
        <v>33.4</v>
      </c>
      <c r="L401">
        <v>86.3</v>
      </c>
      <c r="M401" s="38">
        <v>108.3</v>
      </c>
      <c r="N401" s="38">
        <v>64.2</v>
      </c>
      <c r="O401" s="6">
        <f>(((4.68*N401)-(2.09*X401))-80.99)</f>
        <v>204.41800000000001</v>
      </c>
      <c r="Q401" s="38">
        <v>37.799999999999997</v>
      </c>
      <c r="R401" s="38">
        <v>9.1999999999999993</v>
      </c>
      <c r="S401" s="38">
        <v>8.1</v>
      </c>
      <c r="T401" s="38">
        <v>3.4</v>
      </c>
      <c r="U401" s="38">
        <v>9.1999999999999993</v>
      </c>
      <c r="V401" s="38">
        <v>7.4</v>
      </c>
      <c r="W401" s="38">
        <v>12.4</v>
      </c>
      <c r="X401" s="38">
        <v>7.2</v>
      </c>
      <c r="Y401" s="38">
        <v>5.7</v>
      </c>
      <c r="Z401">
        <f>SUM(R401:Y401)</f>
        <v>62.6</v>
      </c>
      <c r="AA401">
        <v>7.8</v>
      </c>
      <c r="AB401" s="6">
        <f>Anthropometry[[#This Row],[Upper arm girth - R]]-(PI()*(Anthropometry[[#This Row],[Triceps]]/10))</f>
        <v>30.509734758697391</v>
      </c>
      <c r="AC401" s="6">
        <f>Anthropometry[[#This Row],[Mid-thighs]]-PI()*(Anthropometry[[#This Row],[Thigh]]/10)</f>
        <v>61.93805328941535</v>
      </c>
      <c r="AD401" s="6">
        <f>Anthropometry[[#This Row],[Mid-calf]]-PI()*(Anthropometry[[#This Row],[Calf]]/10)</f>
        <v>36.009292187453816</v>
      </c>
      <c r="AE401" s="50">
        <v>19.07</v>
      </c>
      <c r="AF401" s="50">
        <v>37.659999999999997</v>
      </c>
    </row>
    <row r="402" spans="1:40" ht="15" customHeight="1">
      <c r="A402" s="36" t="s">
        <v>55</v>
      </c>
      <c r="B402" s="56">
        <v>45426</v>
      </c>
      <c r="C402" s="33">
        <v>0.32291666666666669</v>
      </c>
      <c r="D402" s="35">
        <v>183</v>
      </c>
      <c r="E402" s="36">
        <v>96</v>
      </c>
      <c r="F402" s="36"/>
      <c r="G402" s="35"/>
      <c r="H402" s="35"/>
      <c r="I402" s="36"/>
      <c r="J402" s="36"/>
      <c r="K402" s="36"/>
      <c r="L402" s="36"/>
      <c r="M402" s="36"/>
      <c r="N402" s="36"/>
      <c r="O402" s="35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5"/>
      <c r="AB402" s="35"/>
      <c r="AC402" s="35"/>
      <c r="AD402" s="35"/>
      <c r="AE402" s="35"/>
      <c r="AF402" s="35"/>
      <c r="AG402" s="36">
        <v>82.1</v>
      </c>
      <c r="AH402" s="36">
        <v>13.3</v>
      </c>
      <c r="AI402" s="36">
        <v>77.400000000000006</v>
      </c>
      <c r="AJ402" s="36">
        <v>12.5</v>
      </c>
      <c r="AK402" s="35">
        <v>28.992000000000001</v>
      </c>
      <c r="AL402" s="35">
        <v>11.976000000000001</v>
      </c>
      <c r="AM402" s="35">
        <v>40.968000000000004</v>
      </c>
    </row>
    <row r="403" spans="1:40" ht="15" customHeight="1">
      <c r="A403" s="36" t="s">
        <v>55</v>
      </c>
      <c r="B403" s="12">
        <v>45457</v>
      </c>
      <c r="C403" s="33">
        <v>0.3125</v>
      </c>
      <c r="D403" s="36">
        <v>182</v>
      </c>
      <c r="E403" s="36">
        <v>95.7</v>
      </c>
      <c r="F403" s="36"/>
      <c r="G403" s="36">
        <v>87.9</v>
      </c>
      <c r="H403" s="36">
        <v>7.8</v>
      </c>
      <c r="I403" s="36"/>
      <c r="J403" s="36"/>
      <c r="K403" s="36">
        <v>33.4</v>
      </c>
      <c r="L403" s="36">
        <v>88.5</v>
      </c>
      <c r="M403" s="36">
        <v>109.2</v>
      </c>
      <c r="N403" s="36">
        <v>62.5</v>
      </c>
      <c r="O403" s="36">
        <v>191.9</v>
      </c>
      <c r="P403" s="36"/>
      <c r="Q403" s="36">
        <v>38.200000000000003</v>
      </c>
      <c r="R403" s="36">
        <v>9.5</v>
      </c>
      <c r="S403" s="36">
        <v>8.4</v>
      </c>
      <c r="T403" s="36">
        <v>3.4</v>
      </c>
      <c r="U403" s="36">
        <v>8</v>
      </c>
      <c r="V403" s="36">
        <v>7.1</v>
      </c>
      <c r="W403" s="36">
        <v>12.7</v>
      </c>
      <c r="X403" s="36">
        <v>9.4</v>
      </c>
      <c r="Y403" s="36">
        <v>6</v>
      </c>
      <c r="Z403" s="36">
        <v>64.5</v>
      </c>
      <c r="AA403" s="36">
        <v>8.1999999999999993</v>
      </c>
      <c r="AB403" s="36">
        <v>30.4</v>
      </c>
      <c r="AC403" s="36">
        <v>59.5</v>
      </c>
      <c r="AD403" s="36">
        <v>36.299999999999997</v>
      </c>
      <c r="AE403" s="36">
        <v>16.8</v>
      </c>
      <c r="AF403" s="36">
        <v>39.299999999999997</v>
      </c>
      <c r="AG403" s="36"/>
      <c r="AH403" s="36"/>
      <c r="AI403" s="36"/>
      <c r="AJ403" s="36"/>
      <c r="AK403" s="36"/>
      <c r="AL403" s="36"/>
      <c r="AM403" s="36"/>
    </row>
    <row r="404" spans="1:40" ht="15" customHeight="1">
      <c r="A404" t="s">
        <v>55</v>
      </c>
      <c r="B404" s="12">
        <v>45485</v>
      </c>
      <c r="C404" s="14">
        <v>0.33333333333333331</v>
      </c>
      <c r="D404" s="6">
        <v>182.7</v>
      </c>
      <c r="E404">
        <v>94.9</v>
      </c>
      <c r="G404" s="6">
        <v>87.56</v>
      </c>
      <c r="H404" s="6">
        <v>7.34</v>
      </c>
      <c r="K404">
        <v>33</v>
      </c>
      <c r="L404">
        <v>87.8</v>
      </c>
      <c r="M404">
        <v>108.7</v>
      </c>
      <c r="N404">
        <v>63.3</v>
      </c>
      <c r="O404" s="6">
        <v>200.20599999999999</v>
      </c>
      <c r="Q404">
        <v>37.6</v>
      </c>
      <c r="R404">
        <v>8.6999999999999993</v>
      </c>
      <c r="S404">
        <v>8.1999999999999993</v>
      </c>
      <c r="T404">
        <v>3.4</v>
      </c>
      <c r="U404">
        <v>8.8000000000000007</v>
      </c>
      <c r="V404">
        <v>7.1</v>
      </c>
      <c r="W404">
        <v>12</v>
      </c>
      <c r="X404">
        <v>7.2</v>
      </c>
      <c r="Y404">
        <v>5.8</v>
      </c>
      <c r="Z404">
        <v>61.2</v>
      </c>
      <c r="AA404" s="6">
        <v>7.73</v>
      </c>
      <c r="AB404" s="6">
        <v>30.3</v>
      </c>
      <c r="AC404" s="6">
        <v>61</v>
      </c>
      <c r="AD404" s="6">
        <v>35.799999999999997</v>
      </c>
      <c r="AE404" s="6">
        <v>20.9</v>
      </c>
      <c r="AF404" s="6">
        <v>37.299999999999997</v>
      </c>
    </row>
    <row r="405" spans="1:40" ht="15" customHeight="1">
      <c r="A405" s="36" t="s">
        <v>55</v>
      </c>
      <c r="B405" s="56" t="s">
        <v>56</v>
      </c>
      <c r="C405" s="33">
        <v>0.3125</v>
      </c>
      <c r="D405" s="35">
        <v>183</v>
      </c>
      <c r="E405" s="36">
        <v>95.1</v>
      </c>
      <c r="F405" s="6">
        <f>(E405/((D405/100)*(D405/100)))</f>
        <v>28.397384215712616</v>
      </c>
      <c r="G405" s="36">
        <v>87.5</v>
      </c>
      <c r="H405" s="36">
        <v>7.6</v>
      </c>
      <c r="I405" s="36"/>
      <c r="J405" s="36"/>
      <c r="K405" s="36">
        <v>34.1</v>
      </c>
      <c r="L405" s="36">
        <v>88</v>
      </c>
      <c r="M405" s="36">
        <v>106.7</v>
      </c>
      <c r="N405" s="36">
        <v>64.2</v>
      </c>
      <c r="O405" s="35">
        <v>204.8</v>
      </c>
      <c r="P405" s="36"/>
      <c r="Q405" s="36">
        <v>38</v>
      </c>
      <c r="R405" s="36">
        <v>10</v>
      </c>
      <c r="S405" s="36">
        <v>8.1999999999999993</v>
      </c>
      <c r="T405" s="36">
        <v>3.3</v>
      </c>
      <c r="U405" s="36">
        <v>8.8000000000000007</v>
      </c>
      <c r="V405" s="36">
        <v>7.5</v>
      </c>
      <c r="W405" s="36">
        <v>12.6</v>
      </c>
      <c r="X405" s="36">
        <v>7</v>
      </c>
      <c r="Y405" s="36">
        <v>6</v>
      </c>
      <c r="Z405">
        <f>SUM(R405:Y405)</f>
        <v>63.4</v>
      </c>
      <c r="AA405" s="6">
        <f>((0.1548*SUM(R405:S405,V405:Y405))+3.58)</f>
        <v>11.521239999999999</v>
      </c>
      <c r="AB405" s="6">
        <f>Anthropometry[[#This Row],[Upper arm girth - R]]-(PI()*(Anthropometry[[#This Row],[Triceps]]/10))</f>
        <v>30.958407346410208</v>
      </c>
      <c r="AC405" s="6">
        <f>Anthropometry[[#This Row],[Mid-thighs]]-PI()*(Anthropometry[[#This Row],[Thigh]]/10)</f>
        <v>62.000885142487149</v>
      </c>
      <c r="AD405" s="6">
        <f>Anthropometry[[#This Row],[Mid-calf]]-PI()*(Anthropometry[[#This Row],[Calf]]/10)</f>
        <v>36.115044407846128</v>
      </c>
      <c r="AE405" s="35">
        <v>18.8</v>
      </c>
      <c r="AF405" s="35">
        <v>38.1</v>
      </c>
      <c r="AG405" s="36"/>
      <c r="AH405" s="36"/>
      <c r="AI405" s="36"/>
      <c r="AJ405" s="36"/>
      <c r="AK405" s="36"/>
      <c r="AL405" s="36"/>
      <c r="AM405" s="36"/>
    </row>
    <row r="406" spans="1:40" ht="15" customHeight="1">
      <c r="A406" t="s">
        <v>55</v>
      </c>
      <c r="B406" s="12" t="s">
        <v>57</v>
      </c>
      <c r="C406" s="14">
        <v>0.3125</v>
      </c>
      <c r="D406" s="6">
        <v>181.2</v>
      </c>
      <c r="E406">
        <v>94.3</v>
      </c>
      <c r="G406" s="6">
        <v>86.9</v>
      </c>
      <c r="H406" s="6">
        <v>7.4</v>
      </c>
      <c r="K406">
        <v>33</v>
      </c>
      <c r="L406">
        <v>86.8</v>
      </c>
      <c r="M406">
        <v>107.8</v>
      </c>
      <c r="N406">
        <v>62.4</v>
      </c>
      <c r="O406" s="6">
        <v>192</v>
      </c>
      <c r="Q406">
        <v>37.5</v>
      </c>
      <c r="R406">
        <v>9.1</v>
      </c>
      <c r="S406">
        <v>8.1</v>
      </c>
      <c r="T406">
        <v>3.4</v>
      </c>
      <c r="U406">
        <v>7.7</v>
      </c>
      <c r="V406">
        <v>7</v>
      </c>
      <c r="W406">
        <v>11.4</v>
      </c>
      <c r="X406">
        <v>9.1</v>
      </c>
      <c r="Y406">
        <v>5.6</v>
      </c>
      <c r="Z406">
        <v>61.4</v>
      </c>
      <c r="AA406" s="6">
        <v>7.9</v>
      </c>
      <c r="AB406" s="6">
        <v>30.1</v>
      </c>
      <c r="AC406" s="6">
        <v>59.5</v>
      </c>
      <c r="AD406" s="6">
        <v>35.700000000000003</v>
      </c>
      <c r="AE406" s="6">
        <v>21.2</v>
      </c>
      <c r="AF406" s="6">
        <v>37</v>
      </c>
    </row>
    <row r="407" spans="1:40" ht="15" customHeight="1">
      <c r="A407" t="s">
        <v>55</v>
      </c>
      <c r="B407" s="12" t="s">
        <v>58</v>
      </c>
      <c r="C407" s="14">
        <v>0.3125</v>
      </c>
      <c r="D407" s="6">
        <v>182</v>
      </c>
      <c r="E407">
        <v>95.5</v>
      </c>
      <c r="G407" s="6">
        <v>87.8</v>
      </c>
      <c r="H407" s="6">
        <v>7.7</v>
      </c>
      <c r="K407">
        <v>33.5</v>
      </c>
      <c r="L407">
        <v>89.7</v>
      </c>
      <c r="M407">
        <v>109.2</v>
      </c>
      <c r="N407">
        <v>63.6</v>
      </c>
      <c r="O407" s="6">
        <v>197.4</v>
      </c>
      <c r="Q407">
        <v>37.799999999999997</v>
      </c>
      <c r="R407">
        <v>9.1999999999999993</v>
      </c>
      <c r="S407">
        <v>8.1</v>
      </c>
      <c r="T407">
        <v>3.3</v>
      </c>
      <c r="U407">
        <v>8.4</v>
      </c>
      <c r="V407">
        <v>7.4</v>
      </c>
      <c r="W407">
        <v>12</v>
      </c>
      <c r="X407">
        <v>9.1999999999999993</v>
      </c>
      <c r="Y407">
        <v>6</v>
      </c>
      <c r="Z407">
        <v>63.6</v>
      </c>
      <c r="AA407" s="6">
        <v>8</v>
      </c>
      <c r="AB407" s="6">
        <v>30.6</v>
      </c>
      <c r="AC407" s="6">
        <v>60.7</v>
      </c>
      <c r="AD407" s="6">
        <v>35.9</v>
      </c>
      <c r="AE407" s="6">
        <v>19.5</v>
      </c>
      <c r="AF407" s="6">
        <v>38.200000000000003</v>
      </c>
      <c r="AG407" s="36"/>
      <c r="AH407" s="36"/>
      <c r="AI407" s="36"/>
      <c r="AJ407" s="36"/>
      <c r="AK407" s="36"/>
      <c r="AL407" s="36"/>
      <c r="AM407" s="36"/>
    </row>
    <row r="408" spans="1:40" ht="15" customHeight="1">
      <c r="A408" t="s">
        <v>59</v>
      </c>
      <c r="B408" s="12">
        <v>43997</v>
      </c>
      <c r="C408" s="14">
        <v>0.34375</v>
      </c>
      <c r="D408">
        <v>180.4</v>
      </c>
      <c r="E408">
        <v>81.400000000000006</v>
      </c>
      <c r="F408" s="6">
        <v>25.012168081769513</v>
      </c>
      <c r="G408" s="6">
        <v>67.548455040000007</v>
      </c>
      <c r="H408" s="6">
        <v>13.85154496</v>
      </c>
      <c r="K408">
        <v>30</v>
      </c>
      <c r="M408">
        <v>102</v>
      </c>
      <c r="N408">
        <v>59.5</v>
      </c>
      <c r="O408">
        <v>146.26499999999999</v>
      </c>
      <c r="P408">
        <v>51</v>
      </c>
      <c r="Q408">
        <v>39.799999999999997</v>
      </c>
      <c r="R408">
        <v>17.600000000000001</v>
      </c>
      <c r="S408">
        <v>8.4</v>
      </c>
      <c r="T408">
        <v>6.2</v>
      </c>
      <c r="U408">
        <v>15.3</v>
      </c>
      <c r="V408">
        <v>10.199999999999999</v>
      </c>
      <c r="W408">
        <v>14</v>
      </c>
      <c r="X408">
        <v>24.5</v>
      </c>
      <c r="Y408">
        <v>12.1</v>
      </c>
      <c r="Z408">
        <v>108.3</v>
      </c>
      <c r="AA408">
        <v>17.016639999999999</v>
      </c>
      <c r="AB408" s="6">
        <f>Anthropometry[[#This Row],[Upper arm girth - R]]-(PI()*(Anthropometry[[#This Row],[Triceps]]/10))</f>
        <v>24.470796929681963</v>
      </c>
      <c r="AC408" s="6">
        <f>Anthropometry[[#This Row],[Mid-thighs]]-PI()*(Anthropometry[[#This Row],[Thigh]]/10)</f>
        <v>51.803097998705006</v>
      </c>
      <c r="AD408" s="6">
        <f>Anthropometry[[#This Row],[Mid-calf]]-PI()*(Anthropometry[[#This Row],[Calf]]/10)</f>
        <v>35.998672889156346</v>
      </c>
      <c r="AE408" s="6"/>
      <c r="AF408" s="6"/>
    </row>
    <row r="409" spans="1:40" ht="15" customHeight="1">
      <c r="A409" t="s">
        <v>59</v>
      </c>
      <c r="B409" s="12">
        <v>44083</v>
      </c>
      <c r="C409" s="14">
        <v>0.33333333333333331</v>
      </c>
      <c r="D409" s="6">
        <v>180.4</v>
      </c>
      <c r="E409">
        <v>81.900000000000006</v>
      </c>
      <c r="F409" s="6">
        <f t="shared" ref="F409:F418" si="29">(E409/((D409/100)*(D409/100)))</f>
        <v>25.165805477849176</v>
      </c>
      <c r="G409" s="6">
        <f t="shared" ref="G409:G420" si="30">E409/100*(100-AA409)</f>
        <v>66.277181880000001</v>
      </c>
      <c r="H409" s="6">
        <f t="shared" ref="H409:H420" si="31">E409/100*AA409</f>
        <v>15.62281812</v>
      </c>
      <c r="K409">
        <v>30.6</v>
      </c>
      <c r="M409">
        <v>104</v>
      </c>
      <c r="N409">
        <v>60</v>
      </c>
      <c r="O409" s="6">
        <f t="shared" ref="O409:O420" si="32">(((4.68*N409)-(2.09*X409))-80.99)</f>
        <v>145.26099999999997</v>
      </c>
      <c r="P409">
        <v>50.5</v>
      </c>
      <c r="Q409">
        <v>40</v>
      </c>
      <c r="R409">
        <v>19</v>
      </c>
      <c r="S409">
        <v>10.4</v>
      </c>
      <c r="T409">
        <v>5.3</v>
      </c>
      <c r="U409">
        <v>17.8</v>
      </c>
      <c r="V409">
        <v>12.1</v>
      </c>
      <c r="W409">
        <v>16.399999999999999</v>
      </c>
      <c r="X409">
        <v>26.1</v>
      </c>
      <c r="Y409">
        <v>16.100000000000001</v>
      </c>
      <c r="Z409">
        <f t="shared" ref="Z409:Z420" si="33">SUM(R409:Y409)</f>
        <v>123.19999999999999</v>
      </c>
      <c r="AA409" s="6">
        <f t="shared" ref="AA409:AA420" si="34">((0.1548*SUM(R409:S409,V409:Y409))+3.58)</f>
        <v>19.075479999999999</v>
      </c>
      <c r="AB409" s="6">
        <f>Anthropometry[[#This Row],[Upper arm girth - R]]-(PI()*(Anthropometry[[#This Row],[Triceps]]/10))</f>
        <v>24.630973958179396</v>
      </c>
      <c r="AC409" s="6">
        <f>Anthropometry[[#This Row],[Mid-thighs]]-PI()*(Anthropometry[[#This Row],[Thigh]]/10)</f>
        <v>51.800443174130635</v>
      </c>
      <c r="AD409" s="6">
        <f>Anthropometry[[#This Row],[Mid-calf]]-PI()*(Anthropometry[[#This Row],[Calf]]/10)</f>
        <v>34.942035827720431</v>
      </c>
      <c r="AE409" s="6"/>
      <c r="AF409" s="6"/>
    </row>
    <row r="410" spans="1:40" ht="15" customHeight="1">
      <c r="A410" t="s">
        <v>59</v>
      </c>
      <c r="B410" s="12">
        <v>44152</v>
      </c>
      <c r="C410" s="14">
        <v>0.33333333333333331</v>
      </c>
      <c r="D410">
        <v>180.4</v>
      </c>
      <c r="E410">
        <v>83.7</v>
      </c>
      <c r="F410" s="6">
        <f t="shared" si="29"/>
        <v>25.718900103735972</v>
      </c>
      <c r="G410" s="6">
        <f t="shared" si="30"/>
        <v>68.498272080000007</v>
      </c>
      <c r="H410" s="6">
        <f t="shared" si="31"/>
        <v>15.201727920000002</v>
      </c>
      <c r="K410">
        <v>31</v>
      </c>
      <c r="M410">
        <v>106.2</v>
      </c>
      <c r="N410">
        <v>60.5</v>
      </c>
      <c r="O410" s="6">
        <f t="shared" si="32"/>
        <v>152.40800000000002</v>
      </c>
      <c r="P410">
        <v>50</v>
      </c>
      <c r="Q410">
        <v>40.299999999999997</v>
      </c>
      <c r="R410">
        <v>19.8</v>
      </c>
      <c r="S410">
        <v>8.8000000000000007</v>
      </c>
      <c r="T410">
        <v>7.2</v>
      </c>
      <c r="U410">
        <v>16.8</v>
      </c>
      <c r="V410">
        <v>11</v>
      </c>
      <c r="W410">
        <v>13.2</v>
      </c>
      <c r="X410">
        <v>23.8</v>
      </c>
      <c r="Y410">
        <v>17.600000000000001</v>
      </c>
      <c r="Z410">
        <f t="shared" si="33"/>
        <v>118.20000000000002</v>
      </c>
      <c r="AA410" s="6">
        <f t="shared" si="34"/>
        <v>18.16216</v>
      </c>
      <c r="AB410" s="6">
        <f>Anthropometry[[#This Row],[Upper arm girth - R]]-(PI()*(Anthropometry[[#This Row],[Triceps]]/10))</f>
        <v>24.779646545892209</v>
      </c>
      <c r="AC410" s="6">
        <f>Anthropometry[[#This Row],[Mid-thighs]]-PI()*(Anthropometry[[#This Row],[Thigh]]/10)</f>
        <v>53.023009484456296</v>
      </c>
      <c r="AD410" s="6">
        <f>Anthropometry[[#This Row],[Mid-calf]]-PI()*(Anthropometry[[#This Row],[Calf]]/10)</f>
        <v>34.770796929681964</v>
      </c>
      <c r="AE410" s="6"/>
      <c r="AF410" s="6"/>
    </row>
    <row r="411" spans="1:40" ht="15" customHeight="1">
      <c r="A411" t="s">
        <v>59</v>
      </c>
      <c r="B411" s="12">
        <v>44211</v>
      </c>
      <c r="C411" s="14">
        <v>0.35416666666666669</v>
      </c>
      <c r="D411" s="6">
        <v>180.4</v>
      </c>
      <c r="E411">
        <v>83.3</v>
      </c>
      <c r="F411" s="6">
        <f t="shared" si="29"/>
        <v>25.595990186872235</v>
      </c>
      <c r="G411" s="6">
        <f t="shared" si="30"/>
        <v>68.635134959999988</v>
      </c>
      <c r="H411" s="6">
        <f t="shared" si="31"/>
        <v>14.66486504</v>
      </c>
      <c r="K411">
        <v>31.7</v>
      </c>
      <c r="M411">
        <v>104</v>
      </c>
      <c r="N411">
        <v>60.7</v>
      </c>
      <c r="O411" s="6">
        <f t="shared" si="32"/>
        <v>149.16400000000004</v>
      </c>
      <c r="P411">
        <v>51.5</v>
      </c>
      <c r="Q411">
        <v>40.200000000000003</v>
      </c>
      <c r="R411">
        <v>18</v>
      </c>
      <c r="S411">
        <v>8.8000000000000007</v>
      </c>
      <c r="T411">
        <v>5.2</v>
      </c>
      <c r="U411">
        <v>16.600000000000001</v>
      </c>
      <c r="V411">
        <v>11.4</v>
      </c>
      <c r="W411">
        <v>13.6</v>
      </c>
      <c r="X411">
        <v>25.8</v>
      </c>
      <c r="Y411">
        <v>13</v>
      </c>
      <c r="Z411">
        <f t="shared" si="33"/>
        <v>112.39999999999999</v>
      </c>
      <c r="AA411" s="6">
        <f t="shared" si="34"/>
        <v>17.604880000000001</v>
      </c>
      <c r="AB411" s="6">
        <f>Anthropometry[[#This Row],[Upper arm girth - R]]-(PI()*(Anthropometry[[#This Row],[Triceps]]/10))</f>
        <v>26.045133223538372</v>
      </c>
      <c r="AC411" s="6">
        <f>Anthropometry[[#This Row],[Mid-thighs]]-PI()*(Anthropometry[[#This Row],[Thigh]]/10)</f>
        <v>52.594690953738336</v>
      </c>
      <c r="AD411" s="6">
        <f>Anthropometry[[#This Row],[Mid-calf]]-PI()*(Anthropometry[[#This Row],[Calf]]/10)</f>
        <v>36.11592955033327</v>
      </c>
      <c r="AE411" s="6"/>
      <c r="AF411" s="6"/>
    </row>
    <row r="412" spans="1:40" ht="15" customHeight="1">
      <c r="A412" t="s">
        <v>59</v>
      </c>
      <c r="B412" s="12">
        <v>44298</v>
      </c>
      <c r="C412" s="14">
        <v>0.39583333333333331</v>
      </c>
      <c r="D412" s="6">
        <v>180.4</v>
      </c>
      <c r="E412">
        <v>83.1</v>
      </c>
      <c r="F412" s="6">
        <f t="shared" si="29"/>
        <v>25.534535228440369</v>
      </c>
      <c r="G412" s="6">
        <f t="shared" si="30"/>
        <v>69.61523004</v>
      </c>
      <c r="H412" s="6">
        <f t="shared" si="31"/>
        <v>13.484769959999998</v>
      </c>
      <c r="K412">
        <v>30</v>
      </c>
      <c r="M412">
        <v>105</v>
      </c>
      <c r="N412">
        <v>61.3</v>
      </c>
      <c r="O412" s="6">
        <f t="shared" si="32"/>
        <v>161.16799999999995</v>
      </c>
      <c r="P412">
        <v>52.5</v>
      </c>
      <c r="Q412">
        <v>40.200000000000003</v>
      </c>
      <c r="R412">
        <v>15.3</v>
      </c>
      <c r="S412">
        <v>8.6</v>
      </c>
      <c r="T412">
        <v>6.2</v>
      </c>
      <c r="U412">
        <v>16.600000000000001</v>
      </c>
      <c r="V412">
        <v>10.6</v>
      </c>
      <c r="W412">
        <v>13.3</v>
      </c>
      <c r="X412">
        <v>21.4</v>
      </c>
      <c r="Y412">
        <v>12.5</v>
      </c>
      <c r="Z412">
        <f t="shared" si="33"/>
        <v>104.5</v>
      </c>
      <c r="AA412" s="6">
        <f t="shared" si="34"/>
        <v>16.227159999999998</v>
      </c>
      <c r="AB412" s="6">
        <f>Anthropometry[[#This Row],[Upper arm girth - R]]-(PI()*(Anthropometry[[#This Row],[Triceps]]/10))</f>
        <v>25.193363240007617</v>
      </c>
      <c r="AC412" s="6">
        <f>Anthropometry[[#This Row],[Mid-thighs]]-PI()*(Anthropometry[[#This Row],[Thigh]]/10)</f>
        <v>54.576991721317839</v>
      </c>
      <c r="AD412" s="6">
        <f>Anthropometry[[#This Row],[Mid-calf]]-PI()*(Anthropometry[[#This Row],[Calf]]/10)</f>
        <v>36.273009183012761</v>
      </c>
      <c r="AE412" s="6"/>
      <c r="AF412" s="6"/>
    </row>
    <row r="413" spans="1:40" ht="15" customHeight="1">
      <c r="A413" t="s">
        <v>59</v>
      </c>
      <c r="B413" s="12">
        <v>44671</v>
      </c>
      <c r="C413" s="14">
        <v>0.33333333333333331</v>
      </c>
      <c r="D413" s="6">
        <v>181.5</v>
      </c>
      <c r="E413">
        <v>85.5</v>
      </c>
      <c r="F413" s="6">
        <f t="shared" si="29"/>
        <v>25.954511303872685</v>
      </c>
      <c r="G413" s="6">
        <f t="shared" si="30"/>
        <v>66.093380999999994</v>
      </c>
      <c r="H413" s="6">
        <f t="shared" si="31"/>
        <v>19.406618999999999</v>
      </c>
      <c r="K413">
        <v>31</v>
      </c>
      <c r="M413">
        <v>108.5</v>
      </c>
      <c r="N413">
        <v>59.5</v>
      </c>
      <c r="O413" s="6">
        <f t="shared" si="32"/>
        <v>121.18499999999999</v>
      </c>
      <c r="P413">
        <v>51.4</v>
      </c>
      <c r="Q413">
        <v>41.2</v>
      </c>
      <c r="R413">
        <v>20.6</v>
      </c>
      <c r="S413">
        <v>9.8000000000000007</v>
      </c>
      <c r="T413">
        <v>5.4</v>
      </c>
      <c r="U413">
        <v>21.6</v>
      </c>
      <c r="V413">
        <v>18.2</v>
      </c>
      <c r="W413">
        <v>19.399999999999999</v>
      </c>
      <c r="X413">
        <v>36.5</v>
      </c>
      <c r="Y413">
        <v>19</v>
      </c>
      <c r="Z413">
        <f t="shared" si="33"/>
        <v>150.5</v>
      </c>
      <c r="AA413" s="6">
        <f t="shared" si="34"/>
        <v>22.697800000000001</v>
      </c>
      <c r="AB413" s="6">
        <f>Anthropometry[[#This Row],[Upper arm girth - R]]-(PI()*(Anthropometry[[#This Row],[Triceps]]/10))</f>
        <v>24.528319133605027</v>
      </c>
      <c r="AC413" s="6">
        <f>Anthropometry[[#This Row],[Mid-thighs]]-PI()*(Anthropometry[[#This Row],[Thigh]]/10)</f>
        <v>48.033186814397254</v>
      </c>
      <c r="AD413" s="6">
        <f>Anthropometry[[#This Row],[Mid-calf]]-PI()*(Anthropometry[[#This Row],[Calf]]/10)</f>
        <v>35.230973958179398</v>
      </c>
      <c r="AE413" s="6"/>
      <c r="AF413" s="6"/>
    </row>
    <row r="414" spans="1:40" ht="15" customHeight="1">
      <c r="A414" t="s">
        <v>59</v>
      </c>
      <c r="B414" s="12">
        <v>44699</v>
      </c>
      <c r="C414" s="14">
        <v>0.32291666666666669</v>
      </c>
      <c r="D414" s="6">
        <v>181.2</v>
      </c>
      <c r="E414">
        <v>85.3</v>
      </c>
      <c r="F414" s="6">
        <f t="shared" si="29"/>
        <v>25.979611030705282</v>
      </c>
      <c r="G414" s="59">
        <f t="shared" si="30"/>
        <v>66.98192736</v>
      </c>
      <c r="H414" s="59">
        <f t="shared" si="31"/>
        <v>18.318072639999997</v>
      </c>
      <c r="K414">
        <v>32</v>
      </c>
      <c r="M414">
        <v>106</v>
      </c>
      <c r="N414">
        <v>59.6</v>
      </c>
      <c r="O414" s="6">
        <f t="shared" si="32"/>
        <v>131.05799999999999</v>
      </c>
      <c r="P414">
        <v>51.2</v>
      </c>
      <c r="Q414">
        <v>41.5</v>
      </c>
      <c r="R414">
        <v>18.600000000000001</v>
      </c>
      <c r="S414">
        <v>10</v>
      </c>
      <c r="T414">
        <v>6.1</v>
      </c>
      <c r="U414">
        <v>20</v>
      </c>
      <c r="V414">
        <v>16.2</v>
      </c>
      <c r="W414">
        <v>20.8</v>
      </c>
      <c r="X414">
        <v>32</v>
      </c>
      <c r="Y414">
        <v>18</v>
      </c>
      <c r="Z414" s="61">
        <f t="shared" si="33"/>
        <v>141.69999999999999</v>
      </c>
      <c r="AA414" s="59">
        <f t="shared" si="34"/>
        <v>21.474879999999999</v>
      </c>
      <c r="AB414" s="50">
        <f>Anthropometry[[#This Row],[Upper arm girth - R]]-(PI()*(Anthropometry[[#This Row],[Triceps]]/10))</f>
        <v>26.156637664322986</v>
      </c>
      <c r="AC414" s="50">
        <f>Anthropometry[[#This Row],[Mid-thighs]]-PI()*(Anthropometry[[#This Row],[Thigh]]/10)</f>
        <v>49.546903508512663</v>
      </c>
      <c r="AD414" s="50">
        <f>Anthropometry[[#This Row],[Mid-calf]]-PI()*(Anthropometry[[#This Row],[Calf]]/10)</f>
        <v>35.845133223538369</v>
      </c>
      <c r="AE414" s="6"/>
      <c r="AF414" s="6"/>
    </row>
    <row r="415" spans="1:40" ht="15" customHeight="1">
      <c r="A415" s="53" t="s">
        <v>59</v>
      </c>
      <c r="B415" s="55">
        <v>44894</v>
      </c>
      <c r="C415" s="34">
        <v>0.32291666666666669</v>
      </c>
      <c r="D415" s="51">
        <v>181.2</v>
      </c>
      <c r="E415" s="37">
        <v>84.2</v>
      </c>
      <c r="F415" s="6">
        <f t="shared" si="29"/>
        <v>25.644586738398417</v>
      </c>
      <c r="G415" s="50">
        <f t="shared" si="30"/>
        <v>68.073275040000013</v>
      </c>
      <c r="H415" s="50">
        <f t="shared" si="31"/>
        <v>16.126724959999997</v>
      </c>
      <c r="I415" s="37"/>
      <c r="J415" s="37"/>
      <c r="K415" s="37">
        <v>32.5</v>
      </c>
      <c r="L415" s="37"/>
      <c r="M415" s="37">
        <v>104.3</v>
      </c>
      <c r="N415" s="51">
        <v>59.8</v>
      </c>
      <c r="O415" s="51">
        <f t="shared" si="32"/>
        <v>140.14499999999998</v>
      </c>
      <c r="P415" s="37">
        <v>50.1</v>
      </c>
      <c r="Q415" s="37">
        <v>40.200000000000003</v>
      </c>
      <c r="R415" s="37">
        <v>16.3</v>
      </c>
      <c r="S415" s="37">
        <v>8.9</v>
      </c>
      <c r="T415" s="37">
        <v>8.6999999999999993</v>
      </c>
      <c r="U415" s="37">
        <v>18.5</v>
      </c>
      <c r="V415" s="37">
        <v>13.3</v>
      </c>
      <c r="W415" s="37">
        <v>17</v>
      </c>
      <c r="X415" s="37">
        <v>28.1</v>
      </c>
      <c r="Y415" s="37">
        <v>17</v>
      </c>
      <c r="Z415">
        <f t="shared" si="33"/>
        <v>127.80000000000001</v>
      </c>
      <c r="AA415" s="6">
        <f t="shared" si="34"/>
        <v>19.152879999999996</v>
      </c>
      <c r="AB415" s="6">
        <f>Anthropometry[[#This Row],[Upper arm girth - R]]-(PI()*(Anthropometry[[#This Row],[Triceps]]/10))</f>
        <v>27.379203974648636</v>
      </c>
      <c r="AC415" s="6">
        <f>Anthropometry[[#This Row],[Mid-thighs]]-PI()*(Anthropometry[[#This Row],[Thigh]]/10)</f>
        <v>50.972124643412677</v>
      </c>
      <c r="AD415" s="6">
        <f>Anthropometry[[#This Row],[Mid-calf]]-PI()*(Anthropometry[[#This Row],[Calf]]/10)</f>
        <v>34.859292488897353</v>
      </c>
      <c r="AE415" s="51"/>
      <c r="AF415" s="51"/>
      <c r="AG415" s="37">
        <v>73.5</v>
      </c>
      <c r="AH415" s="37">
        <v>22.8</v>
      </c>
      <c r="AI415" s="37">
        <v>61.8</v>
      </c>
      <c r="AJ415" s="37">
        <v>19.100000000000001</v>
      </c>
      <c r="AK415" s="37">
        <v>23.7</v>
      </c>
      <c r="AL415" s="37">
        <v>10.5</v>
      </c>
      <c r="AM415" s="54">
        <v>34.200000000000003</v>
      </c>
      <c r="AN415" s="36"/>
    </row>
    <row r="416" spans="1:40" ht="15" customHeight="1">
      <c r="A416" t="s">
        <v>59</v>
      </c>
      <c r="B416" s="12">
        <v>44973</v>
      </c>
      <c r="C416" s="14">
        <v>0.33333333333333331</v>
      </c>
      <c r="D416" s="6">
        <v>181.2</v>
      </c>
      <c r="E416">
        <v>83.2</v>
      </c>
      <c r="F416" s="6">
        <f t="shared" si="29"/>
        <v>25.340019199937629</v>
      </c>
      <c r="G416" s="6">
        <f t="shared" si="30"/>
        <v>69.183828480000003</v>
      </c>
      <c r="H416" s="6">
        <f t="shared" si="31"/>
        <v>14.016171520000002</v>
      </c>
      <c r="K416">
        <v>32.1</v>
      </c>
      <c r="M416">
        <v>103.3</v>
      </c>
      <c r="N416">
        <v>60.3</v>
      </c>
      <c r="O416" s="6">
        <f t="shared" si="32"/>
        <v>148.12799999999999</v>
      </c>
      <c r="P416">
        <v>49.8</v>
      </c>
      <c r="Q416">
        <v>40.200000000000003</v>
      </c>
      <c r="R416">
        <v>14.2</v>
      </c>
      <c r="S416">
        <v>8.6999999999999993</v>
      </c>
      <c r="T416">
        <v>6.6</v>
      </c>
      <c r="U416">
        <v>18.8</v>
      </c>
      <c r="V416">
        <v>10.9</v>
      </c>
      <c r="W416">
        <v>13.1</v>
      </c>
      <c r="X416">
        <v>25.4</v>
      </c>
      <c r="Y416">
        <v>13.4</v>
      </c>
      <c r="Z416">
        <f t="shared" si="33"/>
        <v>111.1</v>
      </c>
      <c r="AA416" s="6">
        <f t="shared" si="34"/>
        <v>16.846360000000001</v>
      </c>
      <c r="AB416" s="6">
        <f>Anthropometry[[#This Row],[Upper arm girth - R]]-(PI()*(Anthropometry[[#This Row],[Triceps]]/10))</f>
        <v>27.638938431902496</v>
      </c>
      <c r="AC416" s="6">
        <f>Anthropometry[[#This Row],[Mid-thighs]]-PI()*(Anthropometry[[#This Row],[Thigh]]/10)</f>
        <v>52.320354659881922</v>
      </c>
      <c r="AD416" s="6">
        <f>Anthropometry[[#This Row],[Mid-calf]]-PI()*(Anthropometry[[#This Row],[Calf]]/10)</f>
        <v>35.990265844189679</v>
      </c>
      <c r="AE416" s="6"/>
      <c r="AF416" s="6"/>
      <c r="AG416">
        <v>74.3</v>
      </c>
      <c r="AH416">
        <v>21.9</v>
      </c>
      <c r="AI416">
        <v>62.1</v>
      </c>
      <c r="AJ416">
        <v>18.3</v>
      </c>
      <c r="AK416">
        <v>23.8</v>
      </c>
      <c r="AL416">
        <v>10.4</v>
      </c>
      <c r="AM416">
        <v>34.200000000000003</v>
      </c>
    </row>
    <row r="417" spans="1:40" ht="15" customHeight="1">
      <c r="A417" s="30" t="s">
        <v>59</v>
      </c>
      <c r="B417" s="12">
        <v>45050</v>
      </c>
      <c r="C417" s="58">
        <v>0.36458333333333331</v>
      </c>
      <c r="D417" s="50">
        <v>181.2</v>
      </c>
      <c r="E417" s="38">
        <v>84</v>
      </c>
      <c r="F417" s="50">
        <f t="shared" si="29"/>
        <v>25.58367323070626</v>
      </c>
      <c r="G417" s="50">
        <f t="shared" si="30"/>
        <v>69.614999999999995</v>
      </c>
      <c r="H417" s="50">
        <f t="shared" si="31"/>
        <v>14.384999999999996</v>
      </c>
      <c r="I417" s="38"/>
      <c r="J417" s="38"/>
      <c r="K417" s="38">
        <v>33.200000000000003</v>
      </c>
      <c r="L417" s="39">
        <v>84.3</v>
      </c>
      <c r="M417" s="38">
        <v>102.9</v>
      </c>
      <c r="N417" s="38">
        <v>60.5</v>
      </c>
      <c r="O417" s="50">
        <f t="shared" si="32"/>
        <v>147.18299999999999</v>
      </c>
      <c r="P417" s="38">
        <v>50.7</v>
      </c>
      <c r="Q417" s="38">
        <v>40.6</v>
      </c>
      <c r="R417" s="38">
        <v>14.4</v>
      </c>
      <c r="S417" s="38">
        <v>9</v>
      </c>
      <c r="T417" s="38">
        <v>10</v>
      </c>
      <c r="U417" s="38">
        <v>19.2</v>
      </c>
      <c r="V417" s="38">
        <v>12</v>
      </c>
      <c r="W417" s="38">
        <v>14.2</v>
      </c>
      <c r="X417" s="38">
        <v>26.3</v>
      </c>
      <c r="Y417" s="38">
        <v>11.6</v>
      </c>
      <c r="Z417" s="38">
        <f t="shared" si="33"/>
        <v>116.69999999999999</v>
      </c>
      <c r="AA417" s="50">
        <f t="shared" si="34"/>
        <v>17.124999999999996</v>
      </c>
      <c r="AB417" s="50">
        <f>Anthropometry[[#This Row],[Upper arm girth - R]]-(PI()*(Anthropometry[[#This Row],[Triceps]]/10))</f>
        <v>28.676106578830701</v>
      </c>
      <c r="AC417" s="50">
        <f>Anthropometry[[#This Row],[Mid-thighs]]-PI()*(Anthropometry[[#This Row],[Thigh]]/10)</f>
        <v>52.237611321058843</v>
      </c>
      <c r="AD417" s="50">
        <f>Anthropometry[[#This Row],[Mid-calf]]-PI()*(Anthropometry[[#This Row],[Calf]]/10)</f>
        <v>36.955752521835841</v>
      </c>
      <c r="AE417" s="50"/>
      <c r="AF417" s="50"/>
      <c r="AG417" s="38"/>
      <c r="AH417" s="38"/>
      <c r="AI417" s="38"/>
      <c r="AJ417" s="38"/>
      <c r="AK417" s="38"/>
      <c r="AL417" s="38"/>
      <c r="AM417" s="62"/>
      <c r="AN417" s="36"/>
    </row>
    <row r="418" spans="1:40" ht="15" customHeight="1">
      <c r="A418" t="s">
        <v>59</v>
      </c>
      <c r="B418" s="12">
        <v>45071</v>
      </c>
      <c r="C418" s="14">
        <v>0.3125</v>
      </c>
      <c r="D418" s="6">
        <v>181</v>
      </c>
      <c r="E418">
        <v>83.8</v>
      </c>
      <c r="F418" s="6">
        <f t="shared" si="29"/>
        <v>25.579194774274288</v>
      </c>
      <c r="G418" s="6">
        <f t="shared" si="30"/>
        <v>69.66977808</v>
      </c>
      <c r="H418" s="6">
        <f t="shared" si="31"/>
        <v>14.13022192</v>
      </c>
      <c r="K418">
        <v>31.9</v>
      </c>
      <c r="L418" s="36">
        <v>87.8</v>
      </c>
      <c r="M418">
        <v>105.1</v>
      </c>
      <c r="N418">
        <v>60.1</v>
      </c>
      <c r="O418" s="6">
        <f t="shared" si="32"/>
        <v>146.983</v>
      </c>
      <c r="Q418">
        <v>40.1</v>
      </c>
      <c r="R418">
        <v>12.8</v>
      </c>
      <c r="S418">
        <v>8.3000000000000007</v>
      </c>
      <c r="T418">
        <v>7.8</v>
      </c>
      <c r="U418">
        <v>19.5</v>
      </c>
      <c r="V418">
        <v>13</v>
      </c>
      <c r="W418">
        <v>14.4</v>
      </c>
      <c r="X418">
        <v>25.5</v>
      </c>
      <c r="Y418">
        <v>11.8</v>
      </c>
      <c r="Z418">
        <f t="shared" si="33"/>
        <v>113.10000000000001</v>
      </c>
      <c r="AA418" s="6">
        <f t="shared" si="34"/>
        <v>16.861840000000001</v>
      </c>
      <c r="AB418" s="6">
        <f>Anthropometry[[#This Row],[Upper arm girth - R]]-(PI()*(Anthropometry[[#This Row],[Triceps]]/10))</f>
        <v>27.878761403405065</v>
      </c>
      <c r="AC418" s="6">
        <f>Anthropometry[[#This Row],[Mid-thighs]]-PI()*(Anthropometry[[#This Row],[Thigh]]/10)</f>
        <v>52.088938733346026</v>
      </c>
      <c r="AD418" s="6">
        <f>Anthropometry[[#This Row],[Mid-calf]]-PI()*(Anthropometry[[#This Row],[Calf]]/10)</f>
        <v>36.392920668764049</v>
      </c>
      <c r="AE418" s="6"/>
      <c r="AF418" s="6"/>
      <c r="AG418">
        <v>75.099999999999994</v>
      </c>
      <c r="AH418">
        <v>21.1</v>
      </c>
      <c r="AI418">
        <v>62.9</v>
      </c>
      <c r="AJ418">
        <v>17.600000000000001</v>
      </c>
      <c r="AK418">
        <v>24.3</v>
      </c>
      <c r="AL418">
        <v>10.3</v>
      </c>
      <c r="AM418">
        <v>34.6</v>
      </c>
    </row>
    <row r="419" spans="1:40" ht="15" customHeight="1">
      <c r="A419" t="s">
        <v>59</v>
      </c>
      <c r="B419" s="12">
        <v>45239</v>
      </c>
      <c r="C419" s="14">
        <v>0.3125</v>
      </c>
      <c r="D419">
        <v>180.9</v>
      </c>
      <c r="E419">
        <v>84.65</v>
      </c>
      <c r="F419">
        <v>25.9</v>
      </c>
      <c r="G419" s="6">
        <f t="shared" si="30"/>
        <v>71.739249720000004</v>
      </c>
      <c r="H419" s="6">
        <f t="shared" si="31"/>
        <v>12.91075028</v>
      </c>
      <c r="K419">
        <v>32</v>
      </c>
      <c r="L419">
        <v>79.7</v>
      </c>
      <c r="M419">
        <v>104.9</v>
      </c>
      <c r="N419">
        <v>61.3</v>
      </c>
      <c r="O419" s="6">
        <f t="shared" si="32"/>
        <v>159.49599999999998</v>
      </c>
      <c r="Q419">
        <v>40.299999999999997</v>
      </c>
      <c r="R419">
        <v>13.4</v>
      </c>
      <c r="S419">
        <v>8</v>
      </c>
      <c r="T419">
        <v>7.4</v>
      </c>
      <c r="U419">
        <v>18.2</v>
      </c>
      <c r="V419">
        <v>9.9</v>
      </c>
      <c r="W419">
        <v>10.199999999999999</v>
      </c>
      <c r="X419">
        <v>22.2</v>
      </c>
      <c r="Y419">
        <v>11.7</v>
      </c>
      <c r="Z419">
        <f t="shared" si="33"/>
        <v>101</v>
      </c>
      <c r="AA419" s="6">
        <f t="shared" si="34"/>
        <v>15.25192</v>
      </c>
      <c r="AB419" s="6">
        <f>Anthropometry[[#This Row],[Upper arm girth - R]]-(PI()*(Anthropometry[[#This Row],[Triceps]]/10))</f>
        <v>27.790265844189676</v>
      </c>
      <c r="AC419" s="6">
        <f>Anthropometry[[#This Row],[Mid-thighs]]-PI()*(Anthropometry[[#This Row],[Thigh]]/10)</f>
        <v>54.325664309030657</v>
      </c>
      <c r="AD419" s="6">
        <f>Anthropometry[[#This Row],[Mid-calf]]-PI()*(Anthropometry[[#This Row],[Calf]]/10)</f>
        <v>36.624336595299937</v>
      </c>
      <c r="AE419">
        <v>22.7</v>
      </c>
      <c r="AF419">
        <v>30.9</v>
      </c>
    </row>
    <row r="420" spans="1:40" ht="15" customHeight="1">
      <c r="A420" s="30" t="s">
        <v>59</v>
      </c>
      <c r="B420" s="12">
        <v>45359</v>
      </c>
      <c r="C420" s="14">
        <v>0.3125</v>
      </c>
      <c r="D420" s="50">
        <v>181.5</v>
      </c>
      <c r="E420" s="38">
        <v>83.5</v>
      </c>
      <c r="F420" s="38">
        <v>25.3</v>
      </c>
      <c r="G420" s="50">
        <f t="shared" si="30"/>
        <v>71.566046400000005</v>
      </c>
      <c r="H420" s="50">
        <f t="shared" si="31"/>
        <v>11.933953600000001</v>
      </c>
      <c r="I420" s="38"/>
      <c r="J420" s="38"/>
      <c r="K420" s="38">
        <v>31.2</v>
      </c>
      <c r="L420" s="38">
        <v>80.400000000000006</v>
      </c>
      <c r="M420" s="38">
        <v>105</v>
      </c>
      <c r="N420" s="38">
        <v>61.5</v>
      </c>
      <c r="O420" s="50">
        <f t="shared" si="32"/>
        <v>170.255</v>
      </c>
      <c r="P420" s="38"/>
      <c r="Q420" s="38">
        <v>40.5</v>
      </c>
      <c r="R420" s="38">
        <v>12.9</v>
      </c>
      <c r="S420" s="38">
        <v>8.4</v>
      </c>
      <c r="T420" s="38">
        <v>8</v>
      </c>
      <c r="U420" s="38">
        <v>14.2</v>
      </c>
      <c r="V420" s="38">
        <v>10</v>
      </c>
      <c r="W420" s="38">
        <v>9</v>
      </c>
      <c r="X420" s="38">
        <v>17.5</v>
      </c>
      <c r="Y420" s="38">
        <v>11.4</v>
      </c>
      <c r="Z420" s="38">
        <f t="shared" si="33"/>
        <v>91.4</v>
      </c>
      <c r="AA420" s="50">
        <f t="shared" si="34"/>
        <v>14.292160000000001</v>
      </c>
      <c r="AB420" s="50">
        <v>27.1</v>
      </c>
      <c r="AC420" s="50">
        <v>56</v>
      </c>
      <c r="AD420" s="50">
        <v>36.9</v>
      </c>
      <c r="AE420" s="50">
        <v>20.5</v>
      </c>
      <c r="AF420" s="50">
        <v>31</v>
      </c>
      <c r="AG420" s="38"/>
      <c r="AH420" s="38"/>
      <c r="AI420" s="38"/>
      <c r="AJ420" s="38"/>
      <c r="AK420" s="38"/>
      <c r="AL420" s="38"/>
      <c r="AM420" s="62"/>
      <c r="AN420" s="36"/>
    </row>
    <row r="421" spans="1:40" ht="15" customHeight="1">
      <c r="A421" t="s">
        <v>51</v>
      </c>
      <c r="B421" s="12" t="s">
        <v>54</v>
      </c>
      <c r="C421" s="14">
        <v>0.33333333333333331</v>
      </c>
      <c r="D421" s="6">
        <v>170</v>
      </c>
      <c r="E421">
        <v>73</v>
      </c>
      <c r="G421" s="6"/>
      <c r="H421" s="6"/>
      <c r="O421" s="6"/>
      <c r="AA421" s="6"/>
      <c r="AB421" s="6"/>
      <c r="AC421" s="6"/>
      <c r="AD421" s="6"/>
      <c r="AE421" s="6"/>
      <c r="AF421" s="6"/>
      <c r="AG421" s="36">
        <v>75.900000000000006</v>
      </c>
      <c r="AH421" s="36">
        <v>20.399999999999999</v>
      </c>
      <c r="AI421" s="36">
        <v>55.4</v>
      </c>
      <c r="AJ421" s="36">
        <v>14.9</v>
      </c>
      <c r="AK421" s="36">
        <v>20.6</v>
      </c>
      <c r="AL421" s="36">
        <v>9.4600000000000009</v>
      </c>
      <c r="AM421" s="36">
        <v>30.06</v>
      </c>
    </row>
    <row r="422" spans="1:40" ht="15" customHeight="1">
      <c r="A422" t="s">
        <v>59</v>
      </c>
      <c r="B422" s="12">
        <v>45405</v>
      </c>
      <c r="C422" s="14">
        <v>0.3125</v>
      </c>
      <c r="D422">
        <v>180.5</v>
      </c>
      <c r="E422">
        <v>83.4</v>
      </c>
      <c r="F422">
        <v>25.3</v>
      </c>
      <c r="G422" s="6">
        <f>E422/100*(100-AA422)</f>
        <v>71.351235360000004</v>
      </c>
      <c r="H422" s="6">
        <f>E422/100*AA422</f>
        <v>12.048764640000002</v>
      </c>
      <c r="K422">
        <v>31.7</v>
      </c>
      <c r="L422">
        <v>80.3</v>
      </c>
      <c r="M422">
        <v>104</v>
      </c>
      <c r="N422">
        <v>61.3</v>
      </c>
      <c r="O422" s="6">
        <f>(((4.68*N422)-(2.09*X422))-80.99)</f>
        <v>168.27399999999994</v>
      </c>
      <c r="Q422">
        <v>40.200000000000003</v>
      </c>
      <c r="R422">
        <v>13</v>
      </c>
      <c r="S422">
        <v>8</v>
      </c>
      <c r="T422">
        <v>7.6</v>
      </c>
      <c r="U422">
        <v>15.7</v>
      </c>
      <c r="V422">
        <v>10.199999999999999</v>
      </c>
      <c r="W422">
        <v>9.6</v>
      </c>
      <c r="X422">
        <v>18</v>
      </c>
      <c r="Y422">
        <v>11.4</v>
      </c>
      <c r="Z422">
        <f>SUM(R422:Y422)</f>
        <v>93.5</v>
      </c>
      <c r="AA422" s="6">
        <f>((0.1548*SUM(R422:S422,V422:Y422))+3.58)</f>
        <v>14.446960000000001</v>
      </c>
      <c r="AB422" s="6">
        <f>Anthropometry[[#This Row],[Upper arm girth - R]]-(PI()*(Anthropometry[[#This Row],[Triceps]]/10))</f>
        <v>27.61592955033327</v>
      </c>
      <c r="AC422" s="6">
        <f>Anthropometry[[#This Row],[Mid-thighs]]-PI()*(Anthropometry[[#This Row],[Thigh]]/10)</f>
        <v>55.645133223538366</v>
      </c>
      <c r="AD422" s="6">
        <f>Anthropometry[[#This Row],[Mid-calf]]-PI()*(Anthropometry[[#This Row],[Calf]]/10)</f>
        <v>36.618584374907641</v>
      </c>
      <c r="AE422">
        <v>20.6</v>
      </c>
      <c r="AF422">
        <v>31.5</v>
      </c>
    </row>
    <row r="423" spans="1:40" ht="15" customHeight="1">
      <c r="A423" t="s">
        <v>59</v>
      </c>
      <c r="B423" s="12">
        <v>45427</v>
      </c>
      <c r="C423" s="14">
        <v>0.3125</v>
      </c>
      <c r="D423">
        <v>181</v>
      </c>
      <c r="E423">
        <v>84</v>
      </c>
      <c r="F423" s="6"/>
      <c r="AG423">
        <v>76.3</v>
      </c>
      <c r="AH423">
        <v>19.399999999999999</v>
      </c>
      <c r="AI423">
        <v>66.599999999999994</v>
      </c>
      <c r="AJ423">
        <v>16.8</v>
      </c>
      <c r="AK423">
        <v>25.3</v>
      </c>
      <c r="AL423">
        <v>10.9</v>
      </c>
      <c r="AM423">
        <v>36.200000000000003</v>
      </c>
    </row>
    <row r="424" spans="1:40" ht="15" customHeight="1">
      <c r="A424" t="s">
        <v>59</v>
      </c>
      <c r="B424" s="12" t="s">
        <v>60</v>
      </c>
      <c r="C424" s="14">
        <v>0.3125</v>
      </c>
      <c r="D424">
        <v>181.3</v>
      </c>
      <c r="E424">
        <v>86.1</v>
      </c>
      <c r="F424">
        <v>26.2</v>
      </c>
      <c r="G424" s="6">
        <f>E424/100*(100-AA424)</f>
        <v>73.594526039999991</v>
      </c>
      <c r="H424" s="6">
        <f>E424/100*AA424</f>
        <v>12.50547396</v>
      </c>
      <c r="K424">
        <v>32.1</v>
      </c>
      <c r="L424">
        <v>81.400000000000006</v>
      </c>
      <c r="M424">
        <v>104.9</v>
      </c>
      <c r="N424">
        <v>61.6</v>
      </c>
      <c r="O424">
        <v>170.5</v>
      </c>
      <c r="Q424">
        <v>40.5</v>
      </c>
      <c r="R424">
        <v>13.8</v>
      </c>
      <c r="S424">
        <v>8.5</v>
      </c>
      <c r="T424">
        <v>7.4</v>
      </c>
      <c r="U424">
        <v>15.6</v>
      </c>
      <c r="V424">
        <v>9.4</v>
      </c>
      <c r="W424">
        <v>9.8000000000000007</v>
      </c>
      <c r="X424">
        <v>17.600000000000001</v>
      </c>
      <c r="Y424">
        <v>11.6</v>
      </c>
      <c r="Z424">
        <f>SUM(R424:Y424)</f>
        <v>93.699999999999989</v>
      </c>
      <c r="AA424" s="6">
        <f>((0.1548*SUM(R424:S424,V424:Y424))+3.58)</f>
        <v>14.52436</v>
      </c>
      <c r="AB424" s="36">
        <v>27.8</v>
      </c>
      <c r="AC424" s="36">
        <v>56.1</v>
      </c>
      <c r="AD424" s="36">
        <v>36.9</v>
      </c>
      <c r="AE424">
        <v>20.6</v>
      </c>
      <c r="AF424">
        <v>32.6</v>
      </c>
    </row>
    <row r="425" spans="1:40" ht="15" customHeight="1">
      <c r="A425" t="s">
        <v>59</v>
      </c>
      <c r="B425" s="12" t="s">
        <v>61</v>
      </c>
      <c r="C425" s="14">
        <v>0.3125</v>
      </c>
      <c r="D425" s="6">
        <v>180.8</v>
      </c>
      <c r="E425">
        <v>85.6</v>
      </c>
      <c r="F425" s="6">
        <v>26.18647</v>
      </c>
      <c r="G425" s="6">
        <v>72.5</v>
      </c>
      <c r="H425" s="6">
        <v>13.1</v>
      </c>
      <c r="K425">
        <v>32.200000000000003</v>
      </c>
      <c r="L425">
        <v>82.2</v>
      </c>
      <c r="M425">
        <v>103.6</v>
      </c>
      <c r="N425">
        <v>61.9</v>
      </c>
      <c r="O425" s="6"/>
      <c r="Q425">
        <v>40.200000000000003</v>
      </c>
      <c r="R425">
        <v>14.4</v>
      </c>
      <c r="S425">
        <v>8.3000000000000007</v>
      </c>
      <c r="T425">
        <v>7.8</v>
      </c>
      <c r="U425">
        <v>15.7</v>
      </c>
      <c r="V425">
        <v>9.1999999999999993</v>
      </c>
      <c r="W425">
        <v>9</v>
      </c>
      <c r="X425">
        <v>21.5</v>
      </c>
      <c r="Y425">
        <v>13.1</v>
      </c>
      <c r="Z425">
        <v>99</v>
      </c>
      <c r="AA425" s="6">
        <v>15.3</v>
      </c>
      <c r="AB425" s="6">
        <v>27.7</v>
      </c>
      <c r="AC425" s="6">
        <v>55.1</v>
      </c>
      <c r="AD425" s="6">
        <v>36.1</v>
      </c>
      <c r="AE425" s="6">
        <v>22.1</v>
      </c>
      <c r="AF425" s="6">
        <v>31.7</v>
      </c>
    </row>
  </sheetData>
  <phoneticPr fontId="5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6E22-F4D0-4948-B225-616B37B9125B}">
  <dimension ref="A1:Y19"/>
  <sheetViews>
    <sheetView workbookViewId="0">
      <selection activeCell="B19" sqref="B19"/>
    </sheetView>
  </sheetViews>
  <sheetFormatPr defaultRowHeight="14.45"/>
  <cols>
    <col min="1" max="1" width="15.5703125" bestFit="1" customWidth="1"/>
    <col min="2" max="2" width="11.7109375" bestFit="1" customWidth="1"/>
    <col min="3" max="3" width="11.42578125" style="15" bestFit="1" customWidth="1"/>
    <col min="4" max="4" width="17.140625" style="15" bestFit="1" customWidth="1"/>
    <col min="5" max="5" width="20.42578125" style="15" bestFit="1" customWidth="1"/>
    <col min="6" max="6" width="24.5703125" style="15" bestFit="1" customWidth="1"/>
    <col min="7" max="7" width="18.85546875" style="15" bestFit="1" customWidth="1"/>
    <col min="8" max="8" width="20.28515625" style="15" bestFit="1" customWidth="1"/>
    <col min="9" max="9" width="22.140625" style="15" bestFit="1" customWidth="1"/>
    <col min="10" max="10" width="23.85546875" style="15" bestFit="1" customWidth="1"/>
    <col min="11" max="11" width="25.140625" style="15" bestFit="1" customWidth="1"/>
    <col min="12" max="12" width="14.85546875" style="15" bestFit="1" customWidth="1"/>
    <col min="13" max="13" width="10.140625" style="15" bestFit="1" customWidth="1"/>
    <col min="14" max="14" width="20.28515625" style="15" bestFit="1" customWidth="1"/>
    <col min="15" max="15" width="30.5703125" style="15" bestFit="1" customWidth="1"/>
    <col min="16" max="16" width="36.7109375" style="15" bestFit="1" customWidth="1"/>
  </cols>
  <sheetData>
    <row r="1" spans="1:25">
      <c r="A1" s="40" t="s">
        <v>62</v>
      </c>
      <c r="B1" s="40" t="s">
        <v>1</v>
      </c>
      <c r="C1" s="44" t="s">
        <v>3</v>
      </c>
      <c r="D1" s="44" t="s">
        <v>63</v>
      </c>
      <c r="E1" s="44" t="s">
        <v>64</v>
      </c>
      <c r="F1" s="44" t="s">
        <v>65</v>
      </c>
      <c r="G1" s="44" t="s">
        <v>66</v>
      </c>
      <c r="H1" s="44" t="s">
        <v>67</v>
      </c>
      <c r="I1" s="44" t="s">
        <v>68</v>
      </c>
      <c r="J1" s="44" t="s">
        <v>69</v>
      </c>
      <c r="K1" s="44" t="s">
        <v>70</v>
      </c>
      <c r="L1" s="44" t="s">
        <v>71</v>
      </c>
      <c r="M1" s="44" t="s">
        <v>72</v>
      </c>
      <c r="N1" s="44" t="s">
        <v>73</v>
      </c>
      <c r="O1" s="44" t="s">
        <v>74</v>
      </c>
      <c r="P1" s="44" t="s">
        <v>75</v>
      </c>
      <c r="Q1" s="36"/>
      <c r="R1" s="36"/>
      <c r="S1" s="36"/>
      <c r="T1" s="36"/>
      <c r="U1" s="36"/>
      <c r="V1" s="36"/>
      <c r="W1" s="36"/>
      <c r="X1" s="36"/>
      <c r="Y1" s="36"/>
    </row>
    <row r="2" spans="1:25">
      <c r="A2" s="41" t="s">
        <v>55</v>
      </c>
      <c r="B2" s="36" t="s">
        <v>76</v>
      </c>
      <c r="C2" s="45">
        <v>183</v>
      </c>
      <c r="D2" s="45">
        <v>92</v>
      </c>
      <c r="E2" s="45">
        <v>91.8</v>
      </c>
      <c r="F2" s="45">
        <v>2064</v>
      </c>
      <c r="G2" s="45">
        <v>11.3</v>
      </c>
      <c r="H2" s="45">
        <v>76.400000000000006</v>
      </c>
      <c r="I2" s="45">
        <v>22.8</v>
      </c>
      <c r="J2" s="45">
        <v>13.9</v>
      </c>
      <c r="K2" s="45">
        <v>10.9</v>
      </c>
      <c r="L2" s="45">
        <v>28.7</v>
      </c>
      <c r="M2" s="45">
        <v>11.6</v>
      </c>
      <c r="N2" s="45">
        <v>40.299999999999997</v>
      </c>
      <c r="O2" s="45"/>
      <c r="P2" s="45"/>
      <c r="Q2" s="36"/>
      <c r="R2" s="36"/>
      <c r="S2" s="36"/>
      <c r="T2" s="36"/>
      <c r="U2" s="36"/>
      <c r="V2" s="36"/>
      <c r="W2" s="36"/>
      <c r="X2" s="36"/>
      <c r="Y2" s="36"/>
    </row>
    <row r="3" spans="1:25">
      <c r="A3" s="41" t="s">
        <v>55</v>
      </c>
      <c r="B3" s="36" t="s">
        <v>77</v>
      </c>
      <c r="C3" s="45">
        <v>183</v>
      </c>
      <c r="D3" s="45">
        <v>89</v>
      </c>
      <c r="E3" s="45">
        <v>89.3</v>
      </c>
      <c r="F3" s="45">
        <v>2028</v>
      </c>
      <c r="G3" s="45">
        <v>10.8</v>
      </c>
      <c r="H3" s="45">
        <v>74.2</v>
      </c>
      <c r="I3" s="45">
        <v>22.8</v>
      </c>
      <c r="J3" s="45">
        <v>13.3</v>
      </c>
      <c r="K3" s="45">
        <v>10.7</v>
      </c>
      <c r="L3" s="45">
        <v>28.2</v>
      </c>
      <c r="M3" s="45">
        <v>11.6</v>
      </c>
      <c r="N3" s="45">
        <v>39.799999999999997</v>
      </c>
      <c r="O3" s="45"/>
      <c r="P3" s="45"/>
      <c r="Q3" s="36"/>
      <c r="R3" s="36"/>
      <c r="S3" s="36"/>
      <c r="T3" s="36"/>
      <c r="U3" s="36"/>
      <c r="V3" s="36"/>
      <c r="W3" s="36"/>
      <c r="X3" s="36"/>
      <c r="Y3" s="36"/>
    </row>
    <row r="4" spans="1:25">
      <c r="A4" s="41" t="s">
        <v>55</v>
      </c>
      <c r="B4" s="36" t="s">
        <v>78</v>
      </c>
      <c r="C4" s="45">
        <v>183</v>
      </c>
      <c r="D4" s="45">
        <v>91</v>
      </c>
      <c r="E4" s="45">
        <v>91.6</v>
      </c>
      <c r="F4" s="45">
        <v>2060</v>
      </c>
      <c r="G4" s="45">
        <v>10.7</v>
      </c>
      <c r="H4" s="45">
        <v>76.8</v>
      </c>
      <c r="I4" s="45">
        <v>22.9</v>
      </c>
      <c r="J4" s="45">
        <v>13.1</v>
      </c>
      <c r="K4" s="45">
        <v>11</v>
      </c>
      <c r="L4" s="45">
        <v>29</v>
      </c>
      <c r="M4" s="45">
        <v>11.4</v>
      </c>
      <c r="N4" s="45">
        <v>40.4</v>
      </c>
      <c r="O4" s="45"/>
      <c r="P4" s="45"/>
      <c r="Q4" s="36"/>
      <c r="R4" s="36"/>
      <c r="S4" s="36"/>
      <c r="T4" s="36"/>
      <c r="U4" s="36"/>
      <c r="V4" s="36"/>
      <c r="W4" s="36"/>
      <c r="X4" s="36"/>
      <c r="Y4" s="36"/>
    </row>
    <row r="5" spans="1:25">
      <c r="A5" s="42" t="s">
        <v>55</v>
      </c>
      <c r="B5" s="43" t="s">
        <v>79</v>
      </c>
      <c r="C5" s="46">
        <v>183</v>
      </c>
      <c r="D5" s="46">
        <v>96</v>
      </c>
      <c r="E5" s="46">
        <v>94.3</v>
      </c>
      <c r="F5" s="46">
        <v>2090</v>
      </c>
      <c r="G5" s="46">
        <v>12.5</v>
      </c>
      <c r="H5" s="46">
        <v>77.400000000000006</v>
      </c>
      <c r="I5" s="46">
        <v>23.1</v>
      </c>
      <c r="J5" s="46">
        <v>13.4</v>
      </c>
      <c r="K5" s="46">
        <v>11</v>
      </c>
      <c r="L5" s="46">
        <v>29</v>
      </c>
      <c r="M5" s="46">
        <v>12</v>
      </c>
      <c r="N5" s="46">
        <v>41</v>
      </c>
      <c r="O5" s="46">
        <f>SUM(H5-H4)</f>
        <v>0.60000000000000853</v>
      </c>
      <c r="P5" s="46">
        <f>SUM(N5-N4)</f>
        <v>0.60000000000000142</v>
      </c>
      <c r="Q5" s="36"/>
      <c r="R5" s="36"/>
      <c r="S5" s="36"/>
      <c r="T5" s="36"/>
      <c r="U5" s="36"/>
      <c r="V5" s="36"/>
      <c r="W5" s="36"/>
      <c r="X5" s="36"/>
      <c r="Y5" s="36"/>
    </row>
    <row r="6" spans="1:25">
      <c r="A6" s="41" t="s">
        <v>59</v>
      </c>
      <c r="B6" s="36" t="s">
        <v>76</v>
      </c>
      <c r="C6" s="45">
        <v>181</v>
      </c>
      <c r="D6" s="45">
        <v>84</v>
      </c>
      <c r="E6" s="45">
        <v>84</v>
      </c>
      <c r="F6" s="45">
        <v>1694</v>
      </c>
      <c r="G6" s="45">
        <v>19.100000000000001</v>
      </c>
      <c r="H6" s="45">
        <v>61.8</v>
      </c>
      <c r="I6" s="45">
        <v>18.899999999999999</v>
      </c>
      <c r="J6" s="45">
        <v>10.7</v>
      </c>
      <c r="K6" s="45">
        <v>8.5</v>
      </c>
      <c r="L6" s="45">
        <v>23.7</v>
      </c>
      <c r="M6" s="45">
        <v>10.5</v>
      </c>
      <c r="N6" s="45">
        <v>34.200000000000003</v>
      </c>
      <c r="O6" s="45"/>
      <c r="P6" s="45"/>
      <c r="Q6" s="36"/>
      <c r="R6" s="36"/>
      <c r="S6" s="36"/>
      <c r="T6" s="36"/>
      <c r="U6" s="36"/>
      <c r="V6" s="36"/>
      <c r="W6" s="36"/>
      <c r="X6" s="36"/>
      <c r="Y6" s="36"/>
    </row>
    <row r="7" spans="1:25">
      <c r="A7" s="41" t="s">
        <v>59</v>
      </c>
      <c r="B7" s="47">
        <v>44988</v>
      </c>
      <c r="C7" s="45">
        <v>181</v>
      </c>
      <c r="D7" s="45">
        <v>84</v>
      </c>
      <c r="E7" s="45">
        <v>83.5</v>
      </c>
      <c r="F7" s="45">
        <v>1690</v>
      </c>
      <c r="G7" s="45">
        <v>18.3</v>
      </c>
      <c r="H7" s="45">
        <v>62.1</v>
      </c>
      <c r="I7" s="45">
        <v>18.899999999999999</v>
      </c>
      <c r="J7" s="45">
        <v>10.6</v>
      </c>
      <c r="K7" s="45">
        <v>8.6</v>
      </c>
      <c r="L7" s="45">
        <v>23.8</v>
      </c>
      <c r="M7" s="45">
        <v>10.4</v>
      </c>
      <c r="N7" s="45">
        <v>34.200000000000003</v>
      </c>
      <c r="O7" s="45"/>
      <c r="P7" s="45"/>
      <c r="Q7" s="36"/>
      <c r="R7" s="36"/>
      <c r="S7" s="36"/>
      <c r="T7" s="36"/>
      <c r="U7" s="36"/>
      <c r="V7" s="36"/>
      <c r="W7" s="36"/>
      <c r="X7" s="36"/>
      <c r="Y7" s="36"/>
    </row>
    <row r="8" spans="1:25">
      <c r="A8" s="41" t="s">
        <v>59</v>
      </c>
      <c r="B8" s="36" t="s">
        <v>78</v>
      </c>
      <c r="C8" s="45">
        <v>181</v>
      </c>
      <c r="D8" s="45">
        <v>84</v>
      </c>
      <c r="E8" s="45">
        <v>83.8</v>
      </c>
      <c r="F8" s="45">
        <v>1691</v>
      </c>
      <c r="G8" s="45">
        <v>17.600000000000001</v>
      </c>
      <c r="H8" s="45">
        <v>62.9</v>
      </c>
      <c r="I8" s="45">
        <v>19.2</v>
      </c>
      <c r="J8" s="45">
        <v>10.9</v>
      </c>
      <c r="K8" s="45">
        <v>8.8000000000000007</v>
      </c>
      <c r="L8" s="45">
        <v>24.3</v>
      </c>
      <c r="M8" s="45">
        <v>10.3</v>
      </c>
      <c r="N8" s="45">
        <v>34.6</v>
      </c>
      <c r="O8" s="45"/>
      <c r="P8" s="45"/>
      <c r="Q8" s="36"/>
      <c r="R8" s="36"/>
      <c r="S8" s="36"/>
      <c r="T8" s="36"/>
      <c r="U8" s="36"/>
      <c r="V8" s="36"/>
      <c r="W8" s="36"/>
      <c r="X8" s="36"/>
      <c r="Y8" s="36"/>
    </row>
    <row r="9" spans="1:25">
      <c r="A9" s="42" t="s">
        <v>59</v>
      </c>
      <c r="B9" s="43" t="s">
        <v>79</v>
      </c>
      <c r="C9" s="46">
        <v>181</v>
      </c>
      <c r="D9" s="46">
        <v>84</v>
      </c>
      <c r="E9" s="46">
        <v>86.7</v>
      </c>
      <c r="F9" s="46">
        <v>1716</v>
      </c>
      <c r="G9" s="46">
        <v>16.8</v>
      </c>
      <c r="H9" s="46">
        <v>66.599999999999994</v>
      </c>
      <c r="I9" s="46">
        <v>20.3</v>
      </c>
      <c r="J9" s="46">
        <v>10.9</v>
      </c>
      <c r="K9" s="46">
        <v>9.4</v>
      </c>
      <c r="L9" s="46">
        <v>25.3</v>
      </c>
      <c r="M9" s="46">
        <v>10.9</v>
      </c>
      <c r="N9" s="46">
        <v>36.200000000000003</v>
      </c>
      <c r="O9" s="46">
        <f>SUM(H9-H8)</f>
        <v>3.6999999999999957</v>
      </c>
      <c r="P9" s="46">
        <f>SUM(N9-N8)</f>
        <v>1.6000000000000014</v>
      </c>
      <c r="Q9" s="36"/>
      <c r="R9" s="36"/>
      <c r="S9" s="36"/>
      <c r="T9" s="36"/>
      <c r="U9" s="36"/>
      <c r="V9" s="36"/>
      <c r="W9" s="36"/>
      <c r="X9" s="36"/>
      <c r="Y9" s="36"/>
    </row>
    <row r="10" spans="1:25">
      <c r="A10" s="41" t="s">
        <v>43</v>
      </c>
      <c r="B10" s="36" t="s">
        <v>76</v>
      </c>
      <c r="C10" s="45">
        <v>177</v>
      </c>
      <c r="D10" s="45">
        <v>83</v>
      </c>
      <c r="E10" s="45">
        <v>82.1</v>
      </c>
      <c r="F10" s="45">
        <v>1669</v>
      </c>
      <c r="G10" s="45">
        <v>17</v>
      </c>
      <c r="H10" s="45">
        <v>62.1</v>
      </c>
      <c r="I10" s="45">
        <v>19.8</v>
      </c>
      <c r="J10" s="45">
        <v>10.8</v>
      </c>
      <c r="K10" s="45">
        <v>8.9</v>
      </c>
      <c r="L10" s="45">
        <v>24</v>
      </c>
      <c r="M10" s="45">
        <v>10.199999999999999</v>
      </c>
      <c r="N10" s="45">
        <v>34.200000000000003</v>
      </c>
      <c r="O10" s="45"/>
      <c r="P10" s="45"/>
      <c r="Q10" s="36"/>
      <c r="R10" s="36"/>
      <c r="S10" s="36"/>
      <c r="T10" s="36"/>
      <c r="U10" s="36"/>
      <c r="V10" s="36"/>
      <c r="W10" s="36"/>
      <c r="X10" s="36"/>
      <c r="Y10" s="36"/>
    </row>
    <row r="11" spans="1:25">
      <c r="A11" s="41" t="s">
        <v>43</v>
      </c>
      <c r="B11" s="36" t="s">
        <v>80</v>
      </c>
      <c r="C11" s="45">
        <v>177</v>
      </c>
      <c r="D11" s="45">
        <v>80</v>
      </c>
      <c r="E11" s="45">
        <v>80.5</v>
      </c>
      <c r="F11" s="45">
        <v>1648</v>
      </c>
      <c r="G11" s="45">
        <v>15</v>
      </c>
      <c r="H11" s="45">
        <v>62.2</v>
      </c>
      <c r="I11" s="45">
        <v>19.899999999999999</v>
      </c>
      <c r="J11" s="45">
        <v>10.5</v>
      </c>
      <c r="K11" s="45">
        <v>9</v>
      </c>
      <c r="L11" s="45">
        <v>24.2</v>
      </c>
      <c r="M11" s="45">
        <v>10.8</v>
      </c>
      <c r="N11" s="45">
        <v>35</v>
      </c>
      <c r="O11" s="45"/>
      <c r="P11" s="45"/>
      <c r="Q11" s="36"/>
      <c r="R11" s="36"/>
      <c r="S11" s="36"/>
      <c r="T11" s="36"/>
      <c r="U11" s="36"/>
      <c r="V11" s="36"/>
      <c r="W11" s="36"/>
      <c r="X11" s="36"/>
      <c r="Y11" s="36"/>
    </row>
    <row r="12" spans="1:25">
      <c r="A12" s="41" t="s">
        <v>43</v>
      </c>
      <c r="B12" s="36" t="s">
        <v>81</v>
      </c>
      <c r="C12" s="45">
        <v>177</v>
      </c>
      <c r="D12" s="45">
        <v>78</v>
      </c>
      <c r="E12" s="45">
        <v>78.8</v>
      </c>
      <c r="F12" s="45">
        <v>1631</v>
      </c>
      <c r="G12" s="45">
        <v>14.5</v>
      </c>
      <c r="H12" s="45">
        <v>61.1</v>
      </c>
      <c r="I12" s="45">
        <v>19.5</v>
      </c>
      <c r="J12" s="45">
        <v>10.3</v>
      </c>
      <c r="K12" s="45">
        <v>8.9</v>
      </c>
      <c r="L12" s="45">
        <v>23.7</v>
      </c>
      <c r="M12" s="45">
        <v>9.5</v>
      </c>
      <c r="N12" s="45">
        <v>33.200000000000003</v>
      </c>
      <c r="O12" s="45"/>
      <c r="P12" s="45"/>
      <c r="Q12" s="36"/>
      <c r="R12" s="36"/>
      <c r="S12" s="36"/>
      <c r="T12" s="36"/>
      <c r="U12" s="36"/>
      <c r="V12" s="36"/>
      <c r="W12" s="36"/>
      <c r="X12" s="36"/>
      <c r="Y12" s="36"/>
    </row>
    <row r="13" spans="1:25">
      <c r="A13" s="42" t="s">
        <v>43</v>
      </c>
      <c r="B13" s="43" t="s">
        <v>79</v>
      </c>
      <c r="C13" s="46">
        <v>177</v>
      </c>
      <c r="D13" s="46">
        <v>83</v>
      </c>
      <c r="E13" s="46">
        <v>81.7</v>
      </c>
      <c r="F13" s="46">
        <v>1655</v>
      </c>
      <c r="G13" s="46">
        <v>15</v>
      </c>
      <c r="H13" s="46">
        <v>63.4</v>
      </c>
      <c r="I13" s="46">
        <v>20.2</v>
      </c>
      <c r="J13" s="46">
        <v>10.3</v>
      </c>
      <c r="K13" s="46">
        <v>9.1</v>
      </c>
      <c r="L13" s="46">
        <v>24.2</v>
      </c>
      <c r="M13" s="46">
        <v>9.6999999999999993</v>
      </c>
      <c r="N13" s="46">
        <v>34</v>
      </c>
      <c r="O13" s="46">
        <f>SUM(H13-H12)</f>
        <v>2.2999999999999972</v>
      </c>
      <c r="P13" s="46">
        <f>SUM(N13-N12)</f>
        <v>0.79999999999999716</v>
      </c>
      <c r="Q13" s="36"/>
      <c r="R13" s="36"/>
      <c r="S13" s="36"/>
      <c r="T13" s="36"/>
      <c r="U13" s="36"/>
      <c r="V13" s="36"/>
      <c r="W13" s="36"/>
      <c r="X13" s="36"/>
      <c r="Y13" s="36"/>
    </row>
    <row r="14" spans="1:25">
      <c r="A14" s="41" t="s">
        <v>50</v>
      </c>
      <c r="B14" s="36" t="s">
        <v>82</v>
      </c>
      <c r="C14" s="45">
        <v>163</v>
      </c>
      <c r="D14" s="45">
        <v>64</v>
      </c>
      <c r="E14" s="45">
        <v>63.8</v>
      </c>
      <c r="F14" s="45">
        <v>1456</v>
      </c>
      <c r="G14" s="45">
        <v>12.2</v>
      </c>
      <c r="H14" s="45">
        <v>48.6</v>
      </c>
      <c r="I14" s="45">
        <v>18.3</v>
      </c>
      <c r="J14" s="45">
        <v>8.3000000000000007</v>
      </c>
      <c r="K14" s="45">
        <v>7.2</v>
      </c>
      <c r="L14" s="45">
        <v>19.2</v>
      </c>
      <c r="M14" s="45">
        <v>8.1</v>
      </c>
      <c r="N14" s="45">
        <v>27.3</v>
      </c>
      <c r="O14" s="45"/>
      <c r="P14" s="45"/>
      <c r="Q14" s="36"/>
      <c r="R14" s="36"/>
      <c r="S14" s="36"/>
      <c r="T14" s="36"/>
      <c r="U14" s="36"/>
      <c r="V14" s="36"/>
      <c r="W14" s="36"/>
      <c r="X14" s="36"/>
      <c r="Y14" s="36"/>
    </row>
    <row r="15" spans="1:25">
      <c r="A15" s="41" t="s">
        <v>50</v>
      </c>
      <c r="B15" s="36" t="s">
        <v>83</v>
      </c>
      <c r="C15" s="45">
        <v>163</v>
      </c>
      <c r="D15" s="45">
        <v>64</v>
      </c>
      <c r="E15" s="45">
        <v>64.099999999999994</v>
      </c>
      <c r="F15" s="45">
        <v>1460</v>
      </c>
      <c r="G15" s="45">
        <v>11.6</v>
      </c>
      <c r="H15" s="45">
        <v>49.5</v>
      </c>
      <c r="I15" s="45">
        <v>18.600000000000001</v>
      </c>
      <c r="J15" s="45">
        <v>9</v>
      </c>
      <c r="K15" s="45">
        <v>7.3</v>
      </c>
      <c r="L15" s="45">
        <v>19.5</v>
      </c>
      <c r="M15" s="45">
        <v>8.6</v>
      </c>
      <c r="N15" s="45">
        <v>28.1</v>
      </c>
      <c r="O15" s="45"/>
      <c r="P15" s="45"/>
      <c r="Q15" s="36"/>
      <c r="R15" s="36"/>
      <c r="S15" s="36"/>
      <c r="T15" s="36"/>
      <c r="U15" s="36"/>
      <c r="V15" s="36"/>
      <c r="W15" s="36"/>
      <c r="X15" s="36"/>
      <c r="Y15" s="36"/>
    </row>
    <row r="16" spans="1:25">
      <c r="A16" s="42" t="s">
        <v>50</v>
      </c>
      <c r="B16" s="43" t="s">
        <v>54</v>
      </c>
      <c r="C16" s="46">
        <v>163</v>
      </c>
      <c r="D16" s="46">
        <v>64</v>
      </c>
      <c r="E16" s="46">
        <v>63.5</v>
      </c>
      <c r="F16" s="46">
        <v>1449</v>
      </c>
      <c r="G16" s="46">
        <v>11.1</v>
      </c>
      <c r="H16" s="46">
        <v>49.4</v>
      </c>
      <c r="I16" s="46">
        <v>18.600000000000001</v>
      </c>
      <c r="J16" s="46">
        <v>8.5</v>
      </c>
      <c r="K16" s="46">
        <v>7.2</v>
      </c>
      <c r="L16" s="46">
        <v>19.100000000000001</v>
      </c>
      <c r="M16" s="46">
        <v>8.6</v>
      </c>
      <c r="N16" s="46">
        <v>27.7</v>
      </c>
      <c r="O16" s="46">
        <f>SUM(H16-H15)</f>
        <v>-0.10000000000000142</v>
      </c>
      <c r="P16" s="46">
        <f>SUM(N16-N15)</f>
        <v>-0.40000000000000213</v>
      </c>
      <c r="Q16" s="36"/>
      <c r="R16" s="36"/>
      <c r="S16" s="36"/>
      <c r="T16" s="36"/>
      <c r="U16" s="36"/>
      <c r="V16" s="36"/>
      <c r="W16" s="36"/>
      <c r="X16" s="36"/>
      <c r="Y16" s="36"/>
    </row>
    <row r="17" spans="1:25">
      <c r="A17" s="41" t="s">
        <v>51</v>
      </c>
      <c r="B17" s="36" t="s">
        <v>76</v>
      </c>
      <c r="C17" s="45">
        <v>170</v>
      </c>
      <c r="D17" s="45">
        <v>70</v>
      </c>
      <c r="E17" s="45">
        <v>69.900000000000006</v>
      </c>
      <c r="F17" s="45">
        <v>1542</v>
      </c>
      <c r="G17" s="45">
        <v>15.1</v>
      </c>
      <c r="H17" s="45">
        <v>52.1</v>
      </c>
      <c r="I17" s="45">
        <v>18</v>
      </c>
      <c r="J17" s="45">
        <v>9.1999999999999993</v>
      </c>
      <c r="K17" s="45">
        <v>7.4</v>
      </c>
      <c r="L17" s="45">
        <v>19.600000000000001</v>
      </c>
      <c r="M17" s="45">
        <v>8.6</v>
      </c>
      <c r="N17" s="45">
        <v>28.2</v>
      </c>
      <c r="O17" s="45"/>
      <c r="P17" s="45"/>
      <c r="Q17" s="36"/>
      <c r="R17" s="36"/>
      <c r="S17" s="36"/>
      <c r="T17" s="36"/>
      <c r="U17" s="36"/>
      <c r="V17" s="36"/>
      <c r="W17" s="36"/>
      <c r="X17" s="36"/>
      <c r="Y17" s="36"/>
    </row>
    <row r="18" spans="1:25">
      <c r="A18" s="41" t="s">
        <v>51</v>
      </c>
      <c r="B18" s="36" t="s">
        <v>80</v>
      </c>
      <c r="C18" s="45">
        <v>170</v>
      </c>
      <c r="D18" s="45">
        <v>72</v>
      </c>
      <c r="E18" s="45">
        <v>71.5</v>
      </c>
      <c r="F18" s="45">
        <v>1553</v>
      </c>
      <c r="G18" s="45">
        <v>14.7</v>
      </c>
      <c r="H18" s="45">
        <v>54.1</v>
      </c>
      <c r="I18" s="45">
        <v>18.7</v>
      </c>
      <c r="J18" s="45">
        <v>9.6</v>
      </c>
      <c r="K18" s="45">
        <v>7.7</v>
      </c>
      <c r="L18" s="45">
        <v>20</v>
      </c>
      <c r="M18" s="45">
        <v>9</v>
      </c>
      <c r="N18" s="45">
        <v>29</v>
      </c>
      <c r="O18" s="45"/>
      <c r="P18" s="45"/>
      <c r="Q18" s="36"/>
      <c r="R18" s="36"/>
      <c r="S18" s="36"/>
      <c r="T18" s="36"/>
      <c r="U18" s="36"/>
      <c r="V18" s="36"/>
      <c r="W18" s="36"/>
      <c r="X18" s="36"/>
      <c r="Y18" s="36"/>
    </row>
    <row r="19" spans="1:25">
      <c r="A19" s="42" t="s">
        <v>51</v>
      </c>
      <c r="B19" s="43" t="s">
        <v>54</v>
      </c>
      <c r="C19" s="46">
        <v>170</v>
      </c>
      <c r="D19" s="46">
        <v>73</v>
      </c>
      <c r="E19" s="46">
        <v>73</v>
      </c>
      <c r="F19" s="46">
        <v>1563</v>
      </c>
      <c r="G19" s="46">
        <v>14.9</v>
      </c>
      <c r="H19" s="46">
        <v>55.4</v>
      </c>
      <c r="I19" s="46">
        <v>19.2</v>
      </c>
      <c r="J19" s="46">
        <v>9.6</v>
      </c>
      <c r="K19" s="46">
        <v>8</v>
      </c>
      <c r="L19" s="46">
        <v>20.6</v>
      </c>
      <c r="M19" s="46">
        <v>9.5</v>
      </c>
      <c r="N19" s="46">
        <v>30.1</v>
      </c>
      <c r="O19" s="46">
        <f>SUM(H19-H18)</f>
        <v>1.2999999999999972</v>
      </c>
      <c r="P19" s="46">
        <f>SUM(N19-N18)</f>
        <v>1.1000000000000014</v>
      </c>
      <c r="Q19" s="36"/>
      <c r="R19" s="36"/>
      <c r="S19" s="36"/>
      <c r="T19" s="36"/>
      <c r="U19" s="36"/>
      <c r="V19" s="36"/>
      <c r="W19" s="36"/>
      <c r="X19" s="36"/>
      <c r="Y19" s="36"/>
    </row>
  </sheetData>
  <autoFilter ref="A1:Y1" xr:uid="{F6BD6E22-F4D0-4948-B225-616B37B9125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A0C2-BC37-45C3-88FE-11BD76E32BCB}">
  <dimension ref="A1:O49"/>
  <sheetViews>
    <sheetView workbookViewId="0">
      <selection activeCell="E56" sqref="E56"/>
    </sheetView>
  </sheetViews>
  <sheetFormatPr defaultRowHeight="14.45"/>
  <cols>
    <col min="1" max="1" width="15.42578125" bestFit="1" customWidth="1"/>
    <col min="2" max="2" width="10.5703125" bestFit="1" customWidth="1"/>
    <col min="4" max="4" width="10.7109375" bestFit="1" customWidth="1"/>
    <col min="8" max="8" width="12.28515625" bestFit="1" customWidth="1"/>
    <col min="9" max="9" width="22.28515625" bestFit="1" customWidth="1"/>
    <col min="13" max="13" width="17.42578125" bestFit="1" customWidth="1"/>
  </cols>
  <sheetData>
    <row r="1" spans="1:15">
      <c r="A1" s="18" t="s">
        <v>0</v>
      </c>
      <c r="B1" s="19" t="s">
        <v>1</v>
      </c>
      <c r="C1" s="19" t="s">
        <v>84</v>
      </c>
      <c r="D1" s="19" t="s">
        <v>85</v>
      </c>
      <c r="E1" s="19" t="s">
        <v>86</v>
      </c>
      <c r="F1" s="19" t="s">
        <v>87</v>
      </c>
      <c r="G1" s="19" t="s">
        <v>88</v>
      </c>
      <c r="H1" s="19" t="s">
        <v>89</v>
      </c>
      <c r="I1" s="19" t="s">
        <v>90</v>
      </c>
      <c r="J1" s="19" t="s">
        <v>91</v>
      </c>
      <c r="K1" s="19" t="s">
        <v>92</v>
      </c>
      <c r="L1" s="19" t="s">
        <v>93</v>
      </c>
      <c r="M1" s="19" t="s">
        <v>94</v>
      </c>
      <c r="N1" s="19" t="s">
        <v>95</v>
      </c>
      <c r="O1" s="19" t="s">
        <v>96</v>
      </c>
    </row>
    <row r="2" spans="1:15" hidden="1">
      <c r="A2" t="s">
        <v>49</v>
      </c>
      <c r="B2" s="5">
        <v>44205</v>
      </c>
      <c r="C2" s="9">
        <v>0.19400000000000001</v>
      </c>
      <c r="D2" s="8">
        <v>15.27</v>
      </c>
      <c r="E2">
        <v>459</v>
      </c>
      <c r="F2">
        <v>120</v>
      </c>
      <c r="G2">
        <v>106</v>
      </c>
      <c r="H2">
        <v>1.149</v>
      </c>
      <c r="I2">
        <v>15.35</v>
      </c>
      <c r="J2" s="23">
        <v>4.0632499307820015E-3</v>
      </c>
      <c r="K2" s="8">
        <v>2.0594272330370003</v>
      </c>
      <c r="L2" t="s">
        <v>97</v>
      </c>
      <c r="M2" t="s">
        <v>98</v>
      </c>
      <c r="N2" t="s">
        <v>99</v>
      </c>
    </row>
    <row r="3" spans="1:15" hidden="1">
      <c r="A3" t="s">
        <v>49</v>
      </c>
      <c r="B3" s="5">
        <v>44172</v>
      </c>
      <c r="C3" s="9">
        <v>0.19545000000000001</v>
      </c>
      <c r="D3" s="8">
        <v>15.72</v>
      </c>
      <c r="E3">
        <v>430</v>
      </c>
      <c r="F3">
        <v>127</v>
      </c>
      <c r="G3">
        <v>101</v>
      </c>
      <c r="H3">
        <v>1.169</v>
      </c>
      <c r="I3">
        <v>15.72</v>
      </c>
      <c r="J3" s="23">
        <v>3.7969285832981708E-3</v>
      </c>
      <c r="K3" s="8">
        <v>1.9426598021479513</v>
      </c>
      <c r="L3" t="s">
        <v>97</v>
      </c>
      <c r="M3" t="s">
        <v>98</v>
      </c>
      <c r="N3" t="s">
        <v>99</v>
      </c>
    </row>
    <row r="4" spans="1:15">
      <c r="A4" t="s">
        <v>50</v>
      </c>
      <c r="B4" s="5">
        <v>45196</v>
      </c>
      <c r="C4" s="9">
        <v>0.20477499999999998</v>
      </c>
      <c r="D4" s="8"/>
      <c r="E4" s="7">
        <v>841</v>
      </c>
      <c r="F4" s="7">
        <v>132.25</v>
      </c>
      <c r="G4">
        <v>111.9</v>
      </c>
      <c r="H4">
        <v>1.1659999999999999</v>
      </c>
      <c r="J4" s="23">
        <v>2.2425803590209814E-3</v>
      </c>
      <c r="K4" s="8">
        <v>1.0951436254528051</v>
      </c>
      <c r="L4" t="s">
        <v>97</v>
      </c>
      <c r="M4" t="s">
        <v>100</v>
      </c>
      <c r="N4" t="s">
        <v>101</v>
      </c>
      <c r="O4" s="6">
        <v>68.3</v>
      </c>
    </row>
    <row r="5" spans="1:15">
      <c r="A5" t="s">
        <v>51</v>
      </c>
      <c r="B5" s="5">
        <v>45196</v>
      </c>
      <c r="C5" s="9">
        <v>0.21062500000000001</v>
      </c>
      <c r="D5" s="8"/>
      <c r="E5" s="7">
        <v>746.25</v>
      </c>
      <c r="F5" s="7">
        <v>128</v>
      </c>
      <c r="G5">
        <v>111.9</v>
      </c>
      <c r="H5">
        <v>1.1659999999999999</v>
      </c>
      <c r="J5" s="23">
        <v>1.5585784121008044E-3</v>
      </c>
      <c r="K5" s="8">
        <v>0.73997788111610885</v>
      </c>
      <c r="L5" t="s">
        <v>97</v>
      </c>
      <c r="M5" t="s">
        <v>100</v>
      </c>
      <c r="N5" t="s">
        <v>101</v>
      </c>
      <c r="O5" s="6">
        <v>66.275000000000006</v>
      </c>
    </row>
    <row r="6" spans="1:15">
      <c r="A6" t="s">
        <v>43</v>
      </c>
      <c r="B6" s="5">
        <v>45196</v>
      </c>
      <c r="C6" s="9">
        <v>0.21842499999999998</v>
      </c>
      <c r="D6" s="8"/>
      <c r="E6" s="7">
        <v>793.5</v>
      </c>
      <c r="F6" s="7">
        <v>129.75</v>
      </c>
      <c r="G6">
        <v>111.8</v>
      </c>
      <c r="H6">
        <v>1.1659999999999999</v>
      </c>
      <c r="J6" s="23">
        <v>6.1846584384263824E-4</v>
      </c>
      <c r="K6" s="8">
        <v>0.28314791980892223</v>
      </c>
      <c r="L6" t="s">
        <v>97</v>
      </c>
      <c r="M6" t="s">
        <v>102</v>
      </c>
      <c r="N6" t="s">
        <v>101</v>
      </c>
      <c r="O6" s="6">
        <v>67.075000000000003</v>
      </c>
    </row>
    <row r="7" spans="1:15" hidden="1">
      <c r="A7" t="s">
        <v>48</v>
      </c>
      <c r="B7" s="5">
        <v>44172</v>
      </c>
      <c r="C7" s="9">
        <v>0.20340000000000003</v>
      </c>
      <c r="D7" s="8">
        <v>13.02</v>
      </c>
      <c r="E7">
        <v>908</v>
      </c>
      <c r="F7">
        <v>126</v>
      </c>
      <c r="G7">
        <v>120</v>
      </c>
      <c r="H7">
        <v>1.169</v>
      </c>
      <c r="I7">
        <v>13.02</v>
      </c>
      <c r="J7" s="23">
        <v>9.4998245597835481E-3</v>
      </c>
      <c r="K7" s="8">
        <v>4.6705135495494332</v>
      </c>
      <c r="L7" t="s">
        <v>97</v>
      </c>
      <c r="M7" t="s">
        <v>98</v>
      </c>
      <c r="N7" t="s">
        <v>99</v>
      </c>
    </row>
    <row r="8" spans="1:15" hidden="1">
      <c r="A8" t="s">
        <v>41</v>
      </c>
      <c r="B8" s="5">
        <v>44205</v>
      </c>
      <c r="C8" s="9">
        <v>0.20399999999999999</v>
      </c>
      <c r="D8" s="8">
        <v>13.52</v>
      </c>
      <c r="E8">
        <v>680</v>
      </c>
      <c r="F8">
        <v>122</v>
      </c>
      <c r="G8">
        <v>118</v>
      </c>
      <c r="H8">
        <v>1.149</v>
      </c>
      <c r="I8" s="8">
        <v>13.6</v>
      </c>
      <c r="J8" s="23">
        <v>3.7643060449437369E-3</v>
      </c>
      <c r="K8" s="8">
        <v>1.8036924029438124</v>
      </c>
      <c r="L8" t="s">
        <v>97</v>
      </c>
      <c r="M8" t="s">
        <v>98</v>
      </c>
      <c r="N8" t="s">
        <v>99</v>
      </c>
    </row>
    <row r="9" spans="1:15">
      <c r="A9" t="s">
        <v>55</v>
      </c>
      <c r="B9" s="5">
        <v>45196</v>
      </c>
      <c r="C9" s="9">
        <v>0.22336666666666669</v>
      </c>
      <c r="D9" s="8"/>
      <c r="E9" s="7">
        <v>1055</v>
      </c>
      <c r="F9" s="7">
        <v>126.33333333333333</v>
      </c>
      <c r="G9">
        <v>124.6</v>
      </c>
      <c r="H9">
        <v>1.1659999999999999</v>
      </c>
      <c r="J9" s="23">
        <v>6.6583281184793544E-4</v>
      </c>
      <c r="K9" s="8">
        <v>0.29808960387163203</v>
      </c>
      <c r="L9" t="s">
        <v>97</v>
      </c>
      <c r="M9" t="s">
        <v>100</v>
      </c>
      <c r="N9" t="s">
        <v>101</v>
      </c>
      <c r="O9" s="6">
        <v>72.766666666666666</v>
      </c>
    </row>
    <row r="10" spans="1:15" hidden="1">
      <c r="A10" t="s">
        <v>40</v>
      </c>
      <c r="B10" s="5">
        <v>44172</v>
      </c>
      <c r="C10" s="9">
        <v>0.20494999999999997</v>
      </c>
      <c r="D10" s="8">
        <v>12.49</v>
      </c>
      <c r="E10">
        <v>963</v>
      </c>
      <c r="F10">
        <v>123</v>
      </c>
      <c r="G10">
        <v>127</v>
      </c>
      <c r="H10">
        <v>1.169</v>
      </c>
      <c r="I10">
        <v>12.49</v>
      </c>
      <c r="J10" s="23">
        <v>2.2037846234754218E-3</v>
      </c>
      <c r="K10" s="8">
        <v>1.0752791527081835</v>
      </c>
      <c r="L10" t="s">
        <v>97</v>
      </c>
      <c r="M10" t="s">
        <v>98</v>
      </c>
      <c r="N10" t="s">
        <v>99</v>
      </c>
    </row>
    <row r="11" spans="1:15" hidden="1">
      <c r="A11" t="s">
        <v>40</v>
      </c>
      <c r="B11" s="5">
        <v>44277</v>
      </c>
      <c r="C11" s="9">
        <v>0.20599999999999999</v>
      </c>
      <c r="D11" s="8">
        <v>12.52</v>
      </c>
      <c r="E11">
        <v>879</v>
      </c>
      <c r="F11">
        <v>123</v>
      </c>
      <c r="G11">
        <v>127</v>
      </c>
      <c r="H11">
        <v>1.1830000000000001</v>
      </c>
      <c r="I11">
        <v>12.47</v>
      </c>
      <c r="J11" s="23">
        <v>8.1649658092772682E-4</v>
      </c>
      <c r="K11" s="8">
        <v>0.39635756355714902</v>
      </c>
      <c r="L11" t="s">
        <v>97</v>
      </c>
      <c r="M11" t="s">
        <v>98</v>
      </c>
      <c r="N11" t="s">
        <v>99</v>
      </c>
    </row>
    <row r="12" spans="1:15">
      <c r="A12" t="s">
        <v>55</v>
      </c>
      <c r="B12" s="5">
        <v>44881</v>
      </c>
      <c r="C12" s="9">
        <v>0.222</v>
      </c>
      <c r="D12" s="8">
        <v>13.06</v>
      </c>
      <c r="E12">
        <v>923</v>
      </c>
      <c r="F12">
        <v>115</v>
      </c>
      <c r="G12">
        <v>131</v>
      </c>
      <c r="H12">
        <v>1.163</v>
      </c>
      <c r="I12" s="8">
        <v>13.08</v>
      </c>
      <c r="J12" s="23">
        <v>4.1000000000000003E-3</v>
      </c>
      <c r="K12" s="8">
        <v>1.84</v>
      </c>
      <c r="L12" t="s">
        <v>103</v>
      </c>
      <c r="M12" t="s">
        <v>100</v>
      </c>
      <c r="N12" t="s">
        <v>99</v>
      </c>
    </row>
    <row r="13" spans="1:15" hidden="1">
      <c r="A13" t="s">
        <v>40</v>
      </c>
      <c r="B13" s="5">
        <v>44034</v>
      </c>
      <c r="C13" s="9">
        <v>0.20774999999999999</v>
      </c>
      <c r="D13" s="8">
        <v>12.66</v>
      </c>
      <c r="E13">
        <v>895</v>
      </c>
      <c r="F13">
        <v>122</v>
      </c>
      <c r="G13">
        <v>127</v>
      </c>
      <c r="H13">
        <v>1.167</v>
      </c>
      <c r="I13">
        <v>12.66</v>
      </c>
      <c r="J13" s="23">
        <v>3.947573094108996E-3</v>
      </c>
      <c r="K13" s="8">
        <v>1.9001555206300824</v>
      </c>
      <c r="L13" t="s">
        <v>97</v>
      </c>
      <c r="M13" t="s">
        <v>98</v>
      </c>
      <c r="N13" t="s">
        <v>99</v>
      </c>
    </row>
    <row r="14" spans="1:15">
      <c r="A14" t="s">
        <v>50</v>
      </c>
      <c r="B14" s="5">
        <v>44860</v>
      </c>
      <c r="C14" s="9">
        <v>0.19700000000000001</v>
      </c>
      <c r="D14" s="8">
        <v>14.39</v>
      </c>
      <c r="E14">
        <v>670</v>
      </c>
      <c r="F14">
        <v>121</v>
      </c>
      <c r="G14">
        <v>112</v>
      </c>
      <c r="H14">
        <v>1.181</v>
      </c>
      <c r="I14">
        <v>14.34</v>
      </c>
      <c r="J14" s="23">
        <v>2.3999999999999998E-3</v>
      </c>
      <c r="K14" s="8">
        <v>1.21</v>
      </c>
      <c r="L14" t="s">
        <v>97</v>
      </c>
      <c r="M14" t="s">
        <v>100</v>
      </c>
      <c r="N14" t="s">
        <v>99</v>
      </c>
    </row>
    <row r="15" spans="1:15" hidden="1">
      <c r="A15" t="s">
        <v>47</v>
      </c>
      <c r="B15" s="5">
        <v>44034</v>
      </c>
      <c r="C15" s="9">
        <v>0.21174999999999999</v>
      </c>
      <c r="D15" s="8">
        <v>13.82</v>
      </c>
      <c r="E15">
        <v>713</v>
      </c>
      <c r="F15">
        <v>119</v>
      </c>
      <c r="G15">
        <v>118</v>
      </c>
      <c r="H15">
        <v>1.167</v>
      </c>
      <c r="I15" s="8">
        <v>13.82</v>
      </c>
      <c r="J15" s="23">
        <v>1.7078251276599345E-3</v>
      </c>
      <c r="K15" s="8">
        <v>0.80652898590787936</v>
      </c>
      <c r="L15" t="s">
        <v>97</v>
      </c>
      <c r="M15" t="s">
        <v>98</v>
      </c>
      <c r="N15" t="s">
        <v>99</v>
      </c>
    </row>
    <row r="16" spans="1:15">
      <c r="A16" t="s">
        <v>51</v>
      </c>
      <c r="B16" s="5">
        <v>44860</v>
      </c>
      <c r="C16" s="9">
        <v>0.21199999999999999</v>
      </c>
      <c r="D16" s="8">
        <v>14.9</v>
      </c>
      <c r="E16">
        <v>580</v>
      </c>
      <c r="F16">
        <v>117</v>
      </c>
      <c r="G16">
        <v>112</v>
      </c>
      <c r="H16">
        <v>1.181</v>
      </c>
      <c r="I16">
        <v>14.85</v>
      </c>
      <c r="J16" s="23">
        <v>2.8E-3</v>
      </c>
      <c r="K16" s="8">
        <v>1.3</v>
      </c>
      <c r="L16" t="s">
        <v>97</v>
      </c>
      <c r="M16" t="s">
        <v>100</v>
      </c>
      <c r="N16" t="s">
        <v>99</v>
      </c>
    </row>
    <row r="17" spans="1:14">
      <c r="A17" t="s">
        <v>43</v>
      </c>
      <c r="B17" s="5">
        <v>44860</v>
      </c>
      <c r="C17" s="9">
        <v>0.23799999999999999</v>
      </c>
      <c r="D17" s="8">
        <v>14.91</v>
      </c>
      <c r="E17">
        <v>626</v>
      </c>
      <c r="F17">
        <v>117</v>
      </c>
      <c r="G17">
        <v>112</v>
      </c>
      <c r="H17">
        <v>1.181</v>
      </c>
      <c r="I17">
        <v>14.86</v>
      </c>
      <c r="J17" s="23">
        <v>4.0000000000000001E-3</v>
      </c>
      <c r="K17" s="8">
        <v>1.69</v>
      </c>
      <c r="L17" t="s">
        <v>97</v>
      </c>
      <c r="M17" t="s">
        <v>100</v>
      </c>
      <c r="N17" t="s">
        <v>99</v>
      </c>
    </row>
    <row r="18" spans="1:14" hidden="1">
      <c r="A18" t="s">
        <v>48</v>
      </c>
      <c r="B18" s="5">
        <v>44277</v>
      </c>
      <c r="C18" s="9">
        <v>0.21199999999999999</v>
      </c>
      <c r="D18" s="8">
        <v>12.88</v>
      </c>
      <c r="E18">
        <v>901</v>
      </c>
      <c r="F18">
        <v>127</v>
      </c>
      <c r="G18">
        <v>120</v>
      </c>
      <c r="H18">
        <v>1.1830000000000001</v>
      </c>
      <c r="I18">
        <v>12.83</v>
      </c>
      <c r="J18" s="23">
        <v>3.8262252939418036E-3</v>
      </c>
      <c r="K18" s="8">
        <v>1.8185481435084621</v>
      </c>
      <c r="L18" t="s">
        <v>97</v>
      </c>
      <c r="M18" t="s">
        <v>98</v>
      </c>
      <c r="N18" t="s">
        <v>99</v>
      </c>
    </row>
    <row r="19" spans="1:14">
      <c r="A19" t="s">
        <v>55</v>
      </c>
      <c r="B19" s="5">
        <v>44851</v>
      </c>
      <c r="C19" s="9">
        <v>0.22800000000000001</v>
      </c>
      <c r="D19" s="8">
        <v>13.02</v>
      </c>
      <c r="E19">
        <v>895</v>
      </c>
      <c r="F19">
        <v>115</v>
      </c>
      <c r="G19">
        <v>131</v>
      </c>
      <c r="H19">
        <v>1.1759999999999999</v>
      </c>
      <c r="I19" s="8">
        <v>13</v>
      </c>
      <c r="J19" s="23">
        <v>2.5166114784235857E-3</v>
      </c>
      <c r="K19" s="8">
        <v>1.1062028476587189</v>
      </c>
      <c r="L19" t="s">
        <v>97</v>
      </c>
      <c r="M19" t="s">
        <v>100</v>
      </c>
      <c r="N19" t="s">
        <v>99</v>
      </c>
    </row>
    <row r="20" spans="1:14">
      <c r="A20" t="s">
        <v>43</v>
      </c>
      <c r="B20" s="5">
        <v>44624</v>
      </c>
      <c r="C20" s="9">
        <v>0.20100000000000001</v>
      </c>
      <c r="D20" s="8">
        <v>14.296666666666667</v>
      </c>
      <c r="E20" s="7">
        <v>632.33333333333337</v>
      </c>
      <c r="F20" s="7">
        <v>118.33333333333333</v>
      </c>
      <c r="G20" s="7">
        <v>116</v>
      </c>
      <c r="H20" s="9">
        <v>1.177</v>
      </c>
      <c r="I20">
        <v>14.24</v>
      </c>
      <c r="J20" s="23">
        <v>5.6438757368791736E-3</v>
      </c>
      <c r="K20" s="8">
        <v>2.8102285826784268</v>
      </c>
      <c r="L20" t="s">
        <v>97</v>
      </c>
      <c r="M20" t="s">
        <v>98</v>
      </c>
      <c r="N20" t="s">
        <v>99</v>
      </c>
    </row>
    <row r="21" spans="1:14" hidden="1">
      <c r="A21" t="s">
        <v>47</v>
      </c>
      <c r="B21" s="5">
        <v>44172</v>
      </c>
      <c r="C21" s="9">
        <v>0.21507499999999999</v>
      </c>
      <c r="D21" s="8">
        <v>14.1</v>
      </c>
      <c r="E21">
        <v>649</v>
      </c>
      <c r="F21">
        <v>117</v>
      </c>
      <c r="G21">
        <v>118</v>
      </c>
      <c r="H21">
        <v>1.169</v>
      </c>
      <c r="I21" s="8">
        <v>14.1</v>
      </c>
      <c r="J21" s="23">
        <v>3.0456252778917705E-3</v>
      </c>
      <c r="K21" s="8">
        <v>1.4160759167228971</v>
      </c>
      <c r="L21" t="s">
        <v>97</v>
      </c>
      <c r="M21" t="s">
        <v>98</v>
      </c>
      <c r="N21" t="s">
        <v>99</v>
      </c>
    </row>
    <row r="22" spans="1:14">
      <c r="A22" t="s">
        <v>55</v>
      </c>
      <c r="B22" s="5">
        <v>44624</v>
      </c>
      <c r="C22" s="9">
        <v>0.21405000000000002</v>
      </c>
      <c r="D22" s="8">
        <v>12.955</v>
      </c>
      <c r="E22" s="7">
        <v>872.75</v>
      </c>
      <c r="F22" s="7">
        <v>111.5</v>
      </c>
      <c r="G22" s="7">
        <v>135</v>
      </c>
      <c r="H22" s="9">
        <v>1.18</v>
      </c>
      <c r="I22">
        <v>12.87</v>
      </c>
      <c r="J22" s="23">
        <v>1.7916472867168926E-3</v>
      </c>
      <c r="K22" s="8">
        <v>0.83702279220597642</v>
      </c>
      <c r="L22" t="s">
        <v>97</v>
      </c>
      <c r="M22" t="s">
        <v>98</v>
      </c>
      <c r="N22" t="s">
        <v>99</v>
      </c>
    </row>
    <row r="23" spans="1:14" hidden="1">
      <c r="A23" t="s">
        <v>48</v>
      </c>
      <c r="B23" s="5">
        <v>44205</v>
      </c>
      <c r="C23" s="9">
        <v>0.217</v>
      </c>
      <c r="D23" s="8">
        <v>12.89</v>
      </c>
      <c r="E23">
        <v>907</v>
      </c>
      <c r="F23">
        <v>118</v>
      </c>
      <c r="G23">
        <v>129</v>
      </c>
      <c r="H23">
        <v>1.149</v>
      </c>
      <c r="I23">
        <v>12.96</v>
      </c>
      <c r="J23" s="23">
        <v>2.2693611435820457E-3</v>
      </c>
      <c r="K23" s="8">
        <v>1.0460295660668568</v>
      </c>
      <c r="L23" t="s">
        <v>97</v>
      </c>
      <c r="M23" t="s">
        <v>98</v>
      </c>
      <c r="N23" t="s">
        <v>99</v>
      </c>
    </row>
    <row r="24" spans="1:14">
      <c r="A24" t="s">
        <v>51</v>
      </c>
      <c r="B24" s="5">
        <v>44624</v>
      </c>
      <c r="C24" s="9">
        <v>0.21845000000000001</v>
      </c>
      <c r="D24" s="8">
        <v>14.722500000000002</v>
      </c>
      <c r="E24" s="7">
        <v>601.75</v>
      </c>
      <c r="F24" s="7">
        <v>116.25</v>
      </c>
      <c r="G24" s="7">
        <v>114</v>
      </c>
      <c r="H24" s="9">
        <v>1.18</v>
      </c>
      <c r="I24">
        <v>14.68</v>
      </c>
      <c r="J24" s="23">
        <v>1.1090536506409372E-3</v>
      </c>
      <c r="K24" s="8">
        <v>0.50769221819223487</v>
      </c>
      <c r="L24" t="s">
        <v>97</v>
      </c>
      <c r="M24" t="s">
        <v>98</v>
      </c>
      <c r="N24" t="s">
        <v>99</v>
      </c>
    </row>
    <row r="25" spans="1:14" hidden="1">
      <c r="A25" t="s">
        <v>44</v>
      </c>
      <c r="B25" s="5">
        <v>44172</v>
      </c>
      <c r="C25" s="9">
        <v>0.217725</v>
      </c>
      <c r="D25" s="8">
        <v>15.01</v>
      </c>
      <c r="E25">
        <v>557</v>
      </c>
      <c r="F25">
        <v>129</v>
      </c>
      <c r="G25">
        <v>101</v>
      </c>
      <c r="H25">
        <v>1.169</v>
      </c>
      <c r="I25">
        <v>15.01</v>
      </c>
      <c r="J25" s="23">
        <v>7.9320026895271392E-4</v>
      </c>
      <c r="K25" s="8">
        <v>0.36431290341151173</v>
      </c>
      <c r="L25" t="s">
        <v>97</v>
      </c>
      <c r="M25" t="s">
        <v>98</v>
      </c>
      <c r="N25" t="s">
        <v>99</v>
      </c>
    </row>
    <row r="26" spans="1:14">
      <c r="A26" t="s">
        <v>55</v>
      </c>
      <c r="B26" s="5">
        <v>44512</v>
      </c>
      <c r="C26" s="9">
        <v>0.21507499999999999</v>
      </c>
      <c r="D26" s="8">
        <v>13.02</v>
      </c>
      <c r="E26">
        <v>839</v>
      </c>
      <c r="F26" s="7">
        <v>116.5</v>
      </c>
      <c r="G26">
        <v>129</v>
      </c>
      <c r="H26">
        <v>1.171</v>
      </c>
      <c r="I26">
        <v>13.01</v>
      </c>
      <c r="J26" s="23">
        <v>5.044055907699665E-3</v>
      </c>
      <c r="K26" s="8">
        <v>2.3452544032080276</v>
      </c>
      <c r="L26" t="s">
        <v>97</v>
      </c>
      <c r="M26" t="s">
        <v>98</v>
      </c>
      <c r="N26" t="s">
        <v>99</v>
      </c>
    </row>
    <row r="27" spans="1:14">
      <c r="A27" t="s">
        <v>43</v>
      </c>
      <c r="B27" s="5">
        <v>44277</v>
      </c>
      <c r="C27" s="9">
        <v>0.20200000000000001</v>
      </c>
      <c r="D27" s="8">
        <v>14.12</v>
      </c>
      <c r="E27">
        <v>615</v>
      </c>
      <c r="F27">
        <v>126</v>
      </c>
      <c r="G27">
        <v>110</v>
      </c>
      <c r="H27">
        <v>1.1830000000000001</v>
      </c>
      <c r="I27">
        <v>14.06</v>
      </c>
      <c r="J27" s="23">
        <v>0</v>
      </c>
      <c r="K27" s="8">
        <v>0</v>
      </c>
      <c r="L27" t="s">
        <v>97</v>
      </c>
      <c r="M27" t="s">
        <v>98</v>
      </c>
      <c r="N27" t="s">
        <v>99</v>
      </c>
    </row>
    <row r="28" spans="1:14" hidden="1">
      <c r="A28" t="s">
        <v>48</v>
      </c>
      <c r="B28" s="5">
        <v>44512</v>
      </c>
      <c r="C28" s="9">
        <v>0.21937500000000001</v>
      </c>
      <c r="D28" s="8">
        <v>12.845000000000001</v>
      </c>
      <c r="E28">
        <v>887</v>
      </c>
      <c r="F28" s="7">
        <v>127</v>
      </c>
      <c r="G28">
        <v>120</v>
      </c>
      <c r="H28">
        <v>1.171</v>
      </c>
      <c r="I28">
        <v>12.84</v>
      </c>
      <c r="J28" s="23">
        <v>5.9129096052620332E-3</v>
      </c>
      <c r="K28" s="8">
        <v>2.6953434098060547</v>
      </c>
      <c r="L28" t="s">
        <v>97</v>
      </c>
      <c r="M28" t="s">
        <v>98</v>
      </c>
      <c r="N28" t="s">
        <v>99</v>
      </c>
    </row>
    <row r="29" spans="1:14" hidden="1">
      <c r="A29" t="s">
        <v>41</v>
      </c>
      <c r="B29" s="5">
        <v>44172</v>
      </c>
      <c r="C29" s="9">
        <v>0.21950000000000003</v>
      </c>
      <c r="D29" s="8">
        <v>13.3</v>
      </c>
      <c r="E29">
        <v>789</v>
      </c>
      <c r="F29">
        <v>126</v>
      </c>
      <c r="G29">
        <v>116</v>
      </c>
      <c r="H29">
        <v>1.169</v>
      </c>
      <c r="I29" s="8">
        <v>13.3</v>
      </c>
      <c r="J29" s="23">
        <v>1.5716233645501798E-3</v>
      </c>
      <c r="K29" s="8">
        <v>0.71600153282468326</v>
      </c>
      <c r="L29" t="s">
        <v>97</v>
      </c>
      <c r="M29" t="s">
        <v>98</v>
      </c>
      <c r="N29" t="s">
        <v>99</v>
      </c>
    </row>
    <row r="30" spans="1:14">
      <c r="A30" t="s">
        <v>55</v>
      </c>
      <c r="B30" s="5">
        <v>44277</v>
      </c>
      <c r="C30" s="9">
        <v>0.21199999999999999</v>
      </c>
      <c r="D30" s="8">
        <v>13.04</v>
      </c>
      <c r="E30">
        <v>765</v>
      </c>
      <c r="F30">
        <v>118</v>
      </c>
      <c r="G30">
        <v>127</v>
      </c>
      <c r="H30">
        <v>1.1830000000000001</v>
      </c>
      <c r="I30">
        <v>12.99</v>
      </c>
      <c r="J30" s="23">
        <v>1.4468356276140469E-3</v>
      </c>
      <c r="K30" s="8">
        <v>0.68150524145739377</v>
      </c>
      <c r="L30" t="s">
        <v>97</v>
      </c>
      <c r="M30" t="s">
        <v>98</v>
      </c>
      <c r="N30" t="s">
        <v>99</v>
      </c>
    </row>
    <row r="31" spans="1:14">
      <c r="A31" t="s">
        <v>55</v>
      </c>
      <c r="B31" s="5">
        <v>44205</v>
      </c>
      <c r="C31" s="9">
        <v>0.21199999999999999</v>
      </c>
      <c r="D31" s="8">
        <v>12.95</v>
      </c>
      <c r="E31">
        <v>848</v>
      </c>
      <c r="F31">
        <v>121</v>
      </c>
      <c r="G31">
        <v>125</v>
      </c>
      <c r="H31">
        <v>1.149</v>
      </c>
      <c r="I31">
        <v>13.03</v>
      </c>
      <c r="J31" s="23">
        <v>3.6864617182333606E-3</v>
      </c>
      <c r="K31" s="8">
        <v>1.7604879265679849</v>
      </c>
      <c r="L31" t="s">
        <v>97</v>
      </c>
      <c r="M31" t="s">
        <v>98</v>
      </c>
      <c r="N31" t="s">
        <v>99</v>
      </c>
    </row>
    <row r="32" spans="1:14" hidden="1">
      <c r="A32" t="s">
        <v>39</v>
      </c>
      <c r="B32" s="5">
        <v>44205</v>
      </c>
      <c r="C32" s="9">
        <v>0.223</v>
      </c>
      <c r="D32" s="8">
        <v>12.77</v>
      </c>
      <c r="E32">
        <v>908</v>
      </c>
      <c r="F32">
        <v>123</v>
      </c>
      <c r="G32">
        <v>125</v>
      </c>
      <c r="H32">
        <v>1.149</v>
      </c>
      <c r="I32">
        <v>12.84</v>
      </c>
      <c r="J32" s="23">
        <v>4.5996376668892766E-3</v>
      </c>
      <c r="K32" s="8">
        <v>2.052035541775274</v>
      </c>
      <c r="L32" t="s">
        <v>97</v>
      </c>
      <c r="M32" t="s">
        <v>98</v>
      </c>
      <c r="N32" t="s">
        <v>99</v>
      </c>
    </row>
    <row r="33" spans="1:15">
      <c r="A33" t="s">
        <v>59</v>
      </c>
      <c r="B33" s="5">
        <v>44205</v>
      </c>
      <c r="C33" s="9">
        <v>0.23400000000000001</v>
      </c>
      <c r="D33" s="8">
        <v>14.96</v>
      </c>
      <c r="E33">
        <v>602</v>
      </c>
      <c r="F33">
        <v>114</v>
      </c>
      <c r="G33">
        <v>114</v>
      </c>
      <c r="H33">
        <v>1.149</v>
      </c>
      <c r="I33">
        <v>15.04</v>
      </c>
      <c r="J33" s="23">
        <v>2.5197552791226875E-3</v>
      </c>
      <c r="K33" s="8">
        <v>1.0773940263485569</v>
      </c>
      <c r="L33" t="s">
        <v>97</v>
      </c>
      <c r="M33" t="s">
        <v>98</v>
      </c>
      <c r="N33" t="s">
        <v>99</v>
      </c>
    </row>
    <row r="34" spans="1:15" hidden="1">
      <c r="A34" t="s">
        <v>47</v>
      </c>
      <c r="B34" s="5">
        <v>44205</v>
      </c>
      <c r="C34" s="9">
        <v>0.224</v>
      </c>
      <c r="D34" s="8">
        <v>14.34</v>
      </c>
      <c r="E34">
        <v>693</v>
      </c>
      <c r="F34">
        <v>115</v>
      </c>
      <c r="G34">
        <v>118</v>
      </c>
      <c r="H34">
        <v>1.149</v>
      </c>
      <c r="I34" s="8">
        <v>14.42</v>
      </c>
      <c r="J34" s="23">
        <v>1.0594810050208541E-3</v>
      </c>
      <c r="K34" s="8">
        <v>0.47398769937181717</v>
      </c>
      <c r="L34" t="s">
        <v>97</v>
      </c>
      <c r="M34" t="s">
        <v>98</v>
      </c>
      <c r="N34" t="s">
        <v>99</v>
      </c>
    </row>
    <row r="35" spans="1:15" hidden="1">
      <c r="A35" t="s">
        <v>52</v>
      </c>
      <c r="B35" s="5">
        <v>44624</v>
      </c>
      <c r="C35" s="9">
        <v>0.22470000000000001</v>
      </c>
      <c r="D35" s="8">
        <v>13.780000000000001</v>
      </c>
      <c r="E35" s="7">
        <v>804.5</v>
      </c>
      <c r="F35" s="7">
        <v>110</v>
      </c>
      <c r="G35" s="7">
        <v>129</v>
      </c>
      <c r="H35" s="9">
        <v>1.18</v>
      </c>
      <c r="I35" s="8">
        <v>13.85</v>
      </c>
      <c r="J35" s="23">
        <v>4.5254833995938964E-3</v>
      </c>
      <c r="K35" s="8">
        <v>2.0140113037801051</v>
      </c>
      <c r="L35" t="s">
        <v>97</v>
      </c>
      <c r="M35" t="s">
        <v>98</v>
      </c>
      <c r="N35" t="s">
        <v>99</v>
      </c>
    </row>
    <row r="36" spans="1:15" hidden="1">
      <c r="A36" t="s">
        <v>52</v>
      </c>
      <c r="B36" s="5">
        <v>44851</v>
      </c>
      <c r="C36" s="9">
        <v>0.22500000000000001</v>
      </c>
      <c r="D36" s="8">
        <v>13.58</v>
      </c>
      <c r="E36">
        <v>788</v>
      </c>
      <c r="F36">
        <v>117</v>
      </c>
      <c r="G36">
        <v>123</v>
      </c>
      <c r="H36">
        <v>1.1759999999999999</v>
      </c>
      <c r="I36" s="8">
        <v>13.57</v>
      </c>
      <c r="J36" s="23">
        <v>2.6457513110645929E-3</v>
      </c>
      <c r="K36" s="8">
        <v>1.1758894715842634</v>
      </c>
      <c r="L36" t="s">
        <v>97</v>
      </c>
      <c r="M36" t="s">
        <v>100</v>
      </c>
      <c r="N36" t="s">
        <v>99</v>
      </c>
    </row>
    <row r="37" spans="1:15" hidden="1">
      <c r="A37" t="s">
        <v>39</v>
      </c>
      <c r="B37" s="5">
        <v>44211</v>
      </c>
      <c r="C37" s="9">
        <v>0.22600000000000001</v>
      </c>
      <c r="D37" s="8">
        <v>12.71</v>
      </c>
      <c r="E37">
        <v>967</v>
      </c>
      <c r="F37">
        <v>123</v>
      </c>
      <c r="G37">
        <v>125</v>
      </c>
      <c r="H37">
        <v>1.153</v>
      </c>
      <c r="I37">
        <v>12.77</v>
      </c>
      <c r="J37" s="23">
        <v>2.6457513110645929E-3</v>
      </c>
      <c r="K37" s="8">
        <v>1.1706864208250412</v>
      </c>
      <c r="L37" t="s">
        <v>97</v>
      </c>
      <c r="M37" t="s">
        <v>98</v>
      </c>
      <c r="N37" t="s">
        <v>99</v>
      </c>
    </row>
    <row r="38" spans="1:15">
      <c r="A38" t="s">
        <v>55</v>
      </c>
      <c r="B38" s="5">
        <v>44172</v>
      </c>
      <c r="C38" s="9">
        <v>0.207425</v>
      </c>
      <c r="D38" s="8">
        <v>13.04</v>
      </c>
      <c r="E38">
        <v>865</v>
      </c>
      <c r="F38">
        <v>120</v>
      </c>
      <c r="G38">
        <v>125</v>
      </c>
      <c r="H38">
        <v>1.169</v>
      </c>
      <c r="I38">
        <v>13.03</v>
      </c>
      <c r="J38" s="23">
        <v>4.8458745340753508E-3</v>
      </c>
      <c r="K38" s="8">
        <v>2.3362056329156808</v>
      </c>
      <c r="L38" t="s">
        <v>97</v>
      </c>
      <c r="M38" t="s">
        <v>98</v>
      </c>
      <c r="N38" t="s">
        <v>99</v>
      </c>
    </row>
    <row r="39" spans="1:15">
      <c r="A39" t="s">
        <v>43</v>
      </c>
      <c r="B39" s="5">
        <v>44172</v>
      </c>
      <c r="C39" s="9">
        <v>0.22267500000000001</v>
      </c>
      <c r="D39" s="8">
        <v>14.55</v>
      </c>
      <c r="E39">
        <v>662</v>
      </c>
      <c r="F39">
        <v>122</v>
      </c>
      <c r="G39">
        <v>110</v>
      </c>
      <c r="H39">
        <v>1.169</v>
      </c>
      <c r="I39">
        <v>14.55</v>
      </c>
      <c r="J39" s="23">
        <v>1.3250786140200691E-3</v>
      </c>
      <c r="K39" s="8">
        <v>0.59507291524422101</v>
      </c>
      <c r="L39" t="s">
        <v>97</v>
      </c>
      <c r="M39" t="s">
        <v>98</v>
      </c>
      <c r="N39" t="s">
        <v>99</v>
      </c>
    </row>
    <row r="40" spans="1:15" hidden="1">
      <c r="A40" t="s">
        <v>39</v>
      </c>
      <c r="B40" s="5">
        <v>44277</v>
      </c>
      <c r="C40" s="9">
        <v>0.23</v>
      </c>
      <c r="D40" s="8">
        <v>12.69</v>
      </c>
      <c r="E40">
        <v>928</v>
      </c>
      <c r="F40">
        <v>121</v>
      </c>
      <c r="G40">
        <v>127</v>
      </c>
      <c r="H40">
        <v>1.1830000000000001</v>
      </c>
      <c r="I40">
        <v>12.64</v>
      </c>
      <c r="J40" s="23">
        <v>1.8257418583505554E-3</v>
      </c>
      <c r="K40" s="8">
        <v>0.79380080797850239</v>
      </c>
      <c r="L40" t="s">
        <v>97</v>
      </c>
      <c r="M40" t="s">
        <v>98</v>
      </c>
      <c r="N40" t="s">
        <v>99</v>
      </c>
    </row>
    <row r="41" spans="1:15" hidden="1">
      <c r="A41" t="s">
        <v>45</v>
      </c>
      <c r="B41" s="5">
        <v>44624</v>
      </c>
      <c r="C41" s="9">
        <v>0.23077500000000001</v>
      </c>
      <c r="D41" s="8">
        <v>12.93</v>
      </c>
      <c r="E41" s="7">
        <v>956.75</v>
      </c>
      <c r="F41" s="7">
        <v>119.5</v>
      </c>
      <c r="G41" s="7">
        <v>127</v>
      </c>
      <c r="H41" s="9">
        <v>1.18</v>
      </c>
      <c r="I41">
        <v>12.89</v>
      </c>
      <c r="J41" s="23">
        <v>1.7932744723921383E-3</v>
      </c>
      <c r="K41" s="8">
        <v>0.77706617804880862</v>
      </c>
      <c r="L41" t="s">
        <v>97</v>
      </c>
      <c r="M41" t="s">
        <v>98</v>
      </c>
      <c r="N41" t="s">
        <v>99</v>
      </c>
    </row>
    <row r="42" spans="1:15" hidden="1">
      <c r="A42" t="s">
        <v>45</v>
      </c>
      <c r="B42" s="5">
        <v>44512</v>
      </c>
      <c r="C42" s="9">
        <v>0.23100000000000001</v>
      </c>
      <c r="D42" s="8">
        <v>12.91</v>
      </c>
      <c r="E42">
        <v>932</v>
      </c>
      <c r="F42" s="7">
        <v>121.5</v>
      </c>
      <c r="G42">
        <v>125</v>
      </c>
      <c r="H42">
        <v>1.171</v>
      </c>
      <c r="I42" s="8">
        <v>12.9</v>
      </c>
      <c r="J42" s="23">
        <v>1.334166406412625E-3</v>
      </c>
      <c r="K42" s="8">
        <v>0.57756121489724022</v>
      </c>
      <c r="L42" t="s">
        <v>97</v>
      </c>
      <c r="M42" t="s">
        <v>98</v>
      </c>
      <c r="N42" t="s">
        <v>99</v>
      </c>
    </row>
    <row r="43" spans="1:15" hidden="1">
      <c r="A43" t="s">
        <v>48</v>
      </c>
      <c r="B43" s="5">
        <v>45196</v>
      </c>
      <c r="C43" s="9">
        <v>0.2311</v>
      </c>
      <c r="D43" s="8"/>
      <c r="E43" s="7">
        <v>1114.75</v>
      </c>
      <c r="F43" s="7">
        <v>125.75</v>
      </c>
      <c r="G43">
        <v>124.6</v>
      </c>
      <c r="H43">
        <v>1.1659999999999999</v>
      </c>
      <c r="J43" s="23">
        <v>1.7358955421722057E-3</v>
      </c>
      <c r="K43" s="8">
        <v>0.75114476078416514</v>
      </c>
      <c r="L43" t="s">
        <v>97</v>
      </c>
      <c r="M43" t="s">
        <v>100</v>
      </c>
      <c r="N43" t="s">
        <v>101</v>
      </c>
      <c r="O43" s="6">
        <v>72.474999999999994</v>
      </c>
    </row>
    <row r="44" spans="1:15">
      <c r="A44" t="s">
        <v>59</v>
      </c>
      <c r="B44" s="5">
        <v>44172</v>
      </c>
      <c r="C44" s="9">
        <v>0.22842500000000002</v>
      </c>
      <c r="D44" s="8">
        <v>14.47</v>
      </c>
      <c r="E44">
        <v>688</v>
      </c>
      <c r="F44">
        <v>118</v>
      </c>
      <c r="G44">
        <v>114</v>
      </c>
      <c r="H44">
        <v>1.169</v>
      </c>
      <c r="I44">
        <v>14.46</v>
      </c>
      <c r="J44" s="23">
        <v>4.9446098599046891E-3</v>
      </c>
      <c r="K44" s="8">
        <v>2.1646535448854936</v>
      </c>
      <c r="L44" t="s">
        <v>97</v>
      </c>
      <c r="M44" t="s">
        <v>98</v>
      </c>
      <c r="N44" t="s">
        <v>99</v>
      </c>
    </row>
    <row r="45" spans="1:15">
      <c r="A45" t="s">
        <v>55</v>
      </c>
      <c r="B45" s="5">
        <v>44034</v>
      </c>
      <c r="C45" s="9">
        <v>0.2175</v>
      </c>
      <c r="D45" s="8">
        <v>13.29</v>
      </c>
      <c r="E45">
        <v>802</v>
      </c>
      <c r="F45">
        <v>116</v>
      </c>
      <c r="G45">
        <v>127</v>
      </c>
      <c r="H45">
        <v>1.167</v>
      </c>
      <c r="I45">
        <v>13.29</v>
      </c>
      <c r="J45" s="23">
        <v>3.1091263510296075E-3</v>
      </c>
      <c r="K45" s="8">
        <v>1.4294833797837276</v>
      </c>
      <c r="L45" t="s">
        <v>97</v>
      </c>
      <c r="M45" t="s">
        <v>98</v>
      </c>
      <c r="N45" t="s">
        <v>99</v>
      </c>
    </row>
    <row r="46" spans="1:15" hidden="1">
      <c r="A46" t="s">
        <v>52</v>
      </c>
      <c r="B46" s="5">
        <v>44512</v>
      </c>
      <c r="C46" s="9">
        <v>0.23657500000000001</v>
      </c>
      <c r="D46" s="8">
        <v>13.71</v>
      </c>
      <c r="E46">
        <v>769</v>
      </c>
      <c r="F46" s="7">
        <v>120</v>
      </c>
      <c r="G46">
        <v>118</v>
      </c>
      <c r="H46">
        <v>1.171</v>
      </c>
      <c r="I46" s="8">
        <v>13.7</v>
      </c>
      <c r="J46" s="23">
        <v>4.231134599608004E-3</v>
      </c>
      <c r="K46" s="8">
        <v>1.7884960793017028</v>
      </c>
      <c r="L46" t="s">
        <v>97</v>
      </c>
      <c r="M46" t="s">
        <v>98</v>
      </c>
      <c r="N46" t="s">
        <v>99</v>
      </c>
    </row>
    <row r="47" spans="1:15">
      <c r="A47" t="s">
        <v>59</v>
      </c>
      <c r="B47" s="5">
        <v>44034</v>
      </c>
      <c r="C47" s="9">
        <v>0.23574999999999999</v>
      </c>
      <c r="D47" s="8">
        <v>14.4</v>
      </c>
      <c r="E47">
        <v>678</v>
      </c>
      <c r="F47">
        <v>119</v>
      </c>
      <c r="G47">
        <v>113</v>
      </c>
      <c r="H47">
        <v>1.167</v>
      </c>
      <c r="I47" s="8">
        <v>14.4</v>
      </c>
      <c r="J47" s="23">
        <v>6.1305247192498316E-3</v>
      </c>
      <c r="K47" s="8">
        <v>2.6004346635206073</v>
      </c>
      <c r="L47" t="s">
        <v>97</v>
      </c>
      <c r="M47" t="s">
        <v>98</v>
      </c>
      <c r="N47" t="s">
        <v>99</v>
      </c>
    </row>
    <row r="48" spans="1:15" hidden="1">
      <c r="A48" t="s">
        <v>48</v>
      </c>
      <c r="B48" s="5">
        <v>44851</v>
      </c>
      <c r="C48" s="9">
        <v>0.24099999999999999</v>
      </c>
      <c r="D48" s="8">
        <v>13.13</v>
      </c>
      <c r="E48">
        <v>913</v>
      </c>
      <c r="F48">
        <v>124</v>
      </c>
      <c r="G48">
        <v>120</v>
      </c>
      <c r="H48">
        <v>1.1759999999999999</v>
      </c>
      <c r="I48">
        <v>13.08</v>
      </c>
      <c r="J48" s="23">
        <v>2.6299556396765858E-3</v>
      </c>
      <c r="K48" s="8">
        <v>1.0901370527156833</v>
      </c>
      <c r="L48" t="s">
        <v>97</v>
      </c>
      <c r="M48" t="s">
        <v>100</v>
      </c>
      <c r="N48" t="s">
        <v>99</v>
      </c>
    </row>
    <row r="49" spans="1:14" hidden="1">
      <c r="A49" t="s">
        <v>39</v>
      </c>
      <c r="B49" s="5">
        <v>44034</v>
      </c>
      <c r="C49" s="9">
        <v>0.2495</v>
      </c>
      <c r="D49" s="8">
        <v>13.13</v>
      </c>
      <c r="E49">
        <v>879</v>
      </c>
      <c r="F49">
        <v>115</v>
      </c>
      <c r="G49">
        <v>129</v>
      </c>
      <c r="H49">
        <v>1.167</v>
      </c>
      <c r="I49">
        <v>13.14</v>
      </c>
      <c r="J49" s="23">
        <v>2.6457513110645929E-3</v>
      </c>
      <c r="K49" s="8">
        <v>1.0604213671601574</v>
      </c>
      <c r="L49" t="s">
        <v>97</v>
      </c>
      <c r="M49" t="s">
        <v>98</v>
      </c>
      <c r="N49" t="s">
        <v>99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7CC1-0A33-49C1-B3FB-0DFDE7AD09F2}">
  <dimension ref="A1:G109"/>
  <sheetViews>
    <sheetView topLeftCell="A93" workbookViewId="0">
      <selection activeCell="J10" sqref="J10"/>
    </sheetView>
  </sheetViews>
  <sheetFormatPr defaultRowHeight="14.45"/>
  <cols>
    <col min="1" max="1" width="15.7109375" customWidth="1"/>
    <col min="2" max="2" width="13" customWidth="1"/>
    <col min="3" max="3" width="11" customWidth="1"/>
    <col min="4" max="4" width="10.7109375" customWidth="1"/>
    <col min="5" max="5" width="10.28515625" customWidth="1"/>
  </cols>
  <sheetData>
    <row r="1" spans="1:7">
      <c r="A1" s="17" t="s">
        <v>0</v>
      </c>
      <c r="B1" s="1" t="s">
        <v>1</v>
      </c>
      <c r="C1" t="s">
        <v>104</v>
      </c>
      <c r="D1" t="s">
        <v>88</v>
      </c>
      <c r="E1" t="s">
        <v>105</v>
      </c>
      <c r="F1" t="s">
        <v>106</v>
      </c>
      <c r="G1" t="s">
        <v>107</v>
      </c>
    </row>
    <row r="2" spans="1:7">
      <c r="A2" t="s">
        <v>39</v>
      </c>
      <c r="B2" s="20">
        <v>43483</v>
      </c>
      <c r="C2" s="15" t="s">
        <v>105</v>
      </c>
      <c r="D2">
        <v>101</v>
      </c>
      <c r="E2" s="8">
        <v>17.14</v>
      </c>
    </row>
    <row r="3" spans="1:7">
      <c r="A3" t="s">
        <v>39</v>
      </c>
      <c r="B3" s="20">
        <v>43805</v>
      </c>
      <c r="C3" s="15" t="s">
        <v>105</v>
      </c>
      <c r="D3">
        <v>102</v>
      </c>
      <c r="E3" s="8">
        <v>17.190000000000001</v>
      </c>
    </row>
    <row r="4" spans="1:7">
      <c r="A4" t="s">
        <v>39</v>
      </c>
      <c r="B4" s="20">
        <v>43887</v>
      </c>
      <c r="C4" s="15" t="s">
        <v>105</v>
      </c>
      <c r="D4">
        <v>100</v>
      </c>
      <c r="E4" s="8">
        <v>17.28</v>
      </c>
    </row>
    <row r="5" spans="1:7">
      <c r="A5" t="s">
        <v>39</v>
      </c>
      <c r="B5" s="20">
        <v>43182</v>
      </c>
      <c r="C5" s="15" t="s">
        <v>105</v>
      </c>
      <c r="D5">
        <v>95</v>
      </c>
      <c r="E5" s="8">
        <v>17.29</v>
      </c>
    </row>
    <row r="6" spans="1:7">
      <c r="A6" t="s">
        <v>39</v>
      </c>
      <c r="B6" s="20">
        <v>43447</v>
      </c>
      <c r="C6" s="15" t="s">
        <v>105</v>
      </c>
      <c r="D6">
        <v>109</v>
      </c>
      <c r="E6" s="8">
        <v>17.37</v>
      </c>
    </row>
    <row r="7" spans="1:7">
      <c r="A7" t="s">
        <v>39</v>
      </c>
      <c r="B7" s="20">
        <v>44112</v>
      </c>
      <c r="C7" s="15" t="s">
        <v>105</v>
      </c>
      <c r="D7">
        <v>99</v>
      </c>
      <c r="E7" s="8">
        <v>17.47</v>
      </c>
    </row>
    <row r="8" spans="1:7">
      <c r="A8" t="s">
        <v>39</v>
      </c>
      <c r="B8" s="20">
        <v>44149</v>
      </c>
      <c r="C8" s="15" t="s">
        <v>105</v>
      </c>
      <c r="D8">
        <v>98</v>
      </c>
      <c r="E8" s="8">
        <v>17.47</v>
      </c>
    </row>
    <row r="9" spans="1:7">
      <c r="A9" t="s">
        <v>40</v>
      </c>
      <c r="B9" s="20">
        <v>43124</v>
      </c>
      <c r="C9" s="15" t="s">
        <v>105</v>
      </c>
      <c r="D9">
        <v>95</v>
      </c>
      <c r="E9" s="8">
        <v>17.64</v>
      </c>
    </row>
    <row r="10" spans="1:7">
      <c r="A10" t="s">
        <v>40</v>
      </c>
      <c r="B10" s="20">
        <v>44149</v>
      </c>
      <c r="C10" s="15" t="s">
        <v>105</v>
      </c>
      <c r="D10">
        <v>98</v>
      </c>
      <c r="E10" s="8">
        <v>17.690000000000001</v>
      </c>
    </row>
    <row r="11" spans="1:7">
      <c r="A11" t="s">
        <v>40</v>
      </c>
      <c r="B11" s="20">
        <v>43447</v>
      </c>
      <c r="C11" s="15" t="s">
        <v>105</v>
      </c>
      <c r="D11">
        <v>106</v>
      </c>
      <c r="E11" s="8">
        <v>17.760000000000002</v>
      </c>
    </row>
    <row r="12" spans="1:7">
      <c r="A12" t="s">
        <v>40</v>
      </c>
      <c r="B12" s="20">
        <v>43746</v>
      </c>
      <c r="C12" s="15" t="s">
        <v>105</v>
      </c>
      <c r="D12">
        <v>108</v>
      </c>
      <c r="E12" s="8">
        <v>17.88</v>
      </c>
    </row>
    <row r="13" spans="1:7">
      <c r="A13" t="s">
        <v>55</v>
      </c>
      <c r="B13" s="20">
        <v>43746</v>
      </c>
      <c r="C13" s="15" t="s">
        <v>105</v>
      </c>
      <c r="D13">
        <v>108</v>
      </c>
      <c r="E13" s="8">
        <v>18.309999999999999</v>
      </c>
    </row>
    <row r="14" spans="1:7">
      <c r="A14" t="s">
        <v>41</v>
      </c>
      <c r="B14" s="20">
        <v>43746</v>
      </c>
      <c r="C14" s="15" t="s">
        <v>105</v>
      </c>
      <c r="D14">
        <v>106</v>
      </c>
      <c r="E14" s="8">
        <v>18.41</v>
      </c>
    </row>
    <row r="15" spans="1:7">
      <c r="A15" t="s">
        <v>41</v>
      </c>
      <c r="B15" s="20">
        <v>43447</v>
      </c>
      <c r="C15" s="15" t="s">
        <v>105</v>
      </c>
      <c r="D15">
        <v>102</v>
      </c>
      <c r="E15" s="8">
        <v>18.45</v>
      </c>
    </row>
    <row r="16" spans="1:7">
      <c r="A16" t="s">
        <v>40</v>
      </c>
      <c r="B16" s="20">
        <v>43669</v>
      </c>
      <c r="C16" s="15" t="s">
        <v>105</v>
      </c>
      <c r="D16">
        <v>115</v>
      </c>
      <c r="E16" s="8">
        <v>18.45</v>
      </c>
    </row>
    <row r="17" spans="1:5">
      <c r="A17" t="s">
        <v>55</v>
      </c>
      <c r="B17" s="20">
        <v>44031</v>
      </c>
      <c r="C17" s="15" t="s">
        <v>105</v>
      </c>
      <c r="D17">
        <v>103</v>
      </c>
      <c r="E17" s="8">
        <v>18.489999999999998</v>
      </c>
    </row>
    <row r="18" spans="1:5">
      <c r="A18" t="s">
        <v>48</v>
      </c>
      <c r="B18" s="20">
        <v>43124</v>
      </c>
      <c r="C18" s="15" t="s">
        <v>105</v>
      </c>
      <c r="D18">
        <v>95</v>
      </c>
      <c r="E18" s="8">
        <v>18.55</v>
      </c>
    </row>
    <row r="19" spans="1:5">
      <c r="A19" t="s">
        <v>48</v>
      </c>
      <c r="B19" s="20">
        <v>44031</v>
      </c>
      <c r="C19" s="15" t="s">
        <v>105</v>
      </c>
      <c r="D19">
        <v>110</v>
      </c>
      <c r="E19" s="8">
        <v>18.57</v>
      </c>
    </row>
    <row r="20" spans="1:5">
      <c r="A20" t="s">
        <v>48</v>
      </c>
      <c r="B20" s="20">
        <v>43746</v>
      </c>
      <c r="C20" s="15" t="s">
        <v>105</v>
      </c>
      <c r="D20">
        <v>105</v>
      </c>
      <c r="E20" s="8">
        <v>18.649999999999999</v>
      </c>
    </row>
    <row r="21" spans="1:5">
      <c r="A21" t="s">
        <v>41</v>
      </c>
      <c r="B21" s="20">
        <v>43867</v>
      </c>
      <c r="C21" s="15" t="s">
        <v>105</v>
      </c>
      <c r="D21">
        <v>112</v>
      </c>
      <c r="E21" s="8">
        <v>18.71</v>
      </c>
    </row>
    <row r="22" spans="1:5">
      <c r="A22" t="s">
        <v>55</v>
      </c>
      <c r="B22" s="20">
        <v>43867</v>
      </c>
      <c r="C22" s="15" t="s">
        <v>105</v>
      </c>
      <c r="D22">
        <v>112</v>
      </c>
      <c r="E22" s="8">
        <v>18.77</v>
      </c>
    </row>
    <row r="23" spans="1:5">
      <c r="A23" t="s">
        <v>47</v>
      </c>
      <c r="B23" s="20">
        <v>43805</v>
      </c>
      <c r="C23" s="15" t="s">
        <v>105</v>
      </c>
      <c r="D23">
        <v>95</v>
      </c>
      <c r="E23" s="8">
        <v>18.96</v>
      </c>
    </row>
    <row r="24" spans="1:5">
      <c r="A24" t="s">
        <v>44</v>
      </c>
      <c r="B24" s="20">
        <v>43392</v>
      </c>
      <c r="C24" s="15" t="s">
        <v>105</v>
      </c>
      <c r="D24">
        <v>94</v>
      </c>
      <c r="E24" s="8">
        <v>18.98</v>
      </c>
    </row>
    <row r="25" spans="1:5">
      <c r="A25" t="s">
        <v>48</v>
      </c>
      <c r="B25" s="20">
        <v>43676</v>
      </c>
      <c r="C25" s="15" t="s">
        <v>105</v>
      </c>
      <c r="D25">
        <v>110</v>
      </c>
      <c r="E25" s="8">
        <v>19.13</v>
      </c>
    </row>
    <row r="26" spans="1:5">
      <c r="A26" t="s">
        <v>47</v>
      </c>
      <c r="B26" s="20">
        <v>43522</v>
      </c>
      <c r="C26" s="15" t="s">
        <v>105</v>
      </c>
      <c r="D26">
        <v>96</v>
      </c>
      <c r="E26" s="8">
        <v>19.13</v>
      </c>
    </row>
    <row r="27" spans="1:5">
      <c r="A27" t="s">
        <v>47</v>
      </c>
      <c r="B27" s="20">
        <v>43798</v>
      </c>
      <c r="C27" s="15" t="s">
        <v>105</v>
      </c>
      <c r="D27">
        <v>95</v>
      </c>
      <c r="E27" s="8">
        <v>19.190000000000001</v>
      </c>
    </row>
    <row r="28" spans="1:5">
      <c r="A28" t="s">
        <v>44</v>
      </c>
      <c r="B28" s="20">
        <v>43335</v>
      </c>
      <c r="C28" s="15" t="s">
        <v>105</v>
      </c>
      <c r="D28">
        <v>94</v>
      </c>
      <c r="E28" s="8">
        <v>19.2</v>
      </c>
    </row>
    <row r="29" spans="1:5">
      <c r="A29" t="s">
        <v>47</v>
      </c>
      <c r="B29" s="20">
        <v>43754</v>
      </c>
      <c r="C29" s="15" t="s">
        <v>105</v>
      </c>
      <c r="D29">
        <v>96</v>
      </c>
      <c r="E29" s="8">
        <v>19.25</v>
      </c>
    </row>
    <row r="30" spans="1:5">
      <c r="A30" t="s">
        <v>47</v>
      </c>
      <c r="B30" s="20">
        <v>44031</v>
      </c>
      <c r="C30" s="15" t="s">
        <v>105</v>
      </c>
      <c r="D30">
        <v>107</v>
      </c>
      <c r="E30" s="8">
        <v>19.32</v>
      </c>
    </row>
    <row r="31" spans="1:5">
      <c r="A31" t="s">
        <v>41</v>
      </c>
      <c r="B31" s="20">
        <v>44131</v>
      </c>
      <c r="C31" s="15" t="s">
        <v>105</v>
      </c>
      <c r="D31">
        <v>105</v>
      </c>
      <c r="E31" s="8">
        <v>19.36</v>
      </c>
    </row>
    <row r="32" spans="1:5">
      <c r="A32" t="s">
        <v>44</v>
      </c>
      <c r="B32" s="20">
        <v>43176</v>
      </c>
      <c r="C32" s="15" t="s">
        <v>105</v>
      </c>
      <c r="D32">
        <v>94</v>
      </c>
      <c r="E32" s="8">
        <v>19.48</v>
      </c>
    </row>
    <row r="33" spans="1:6">
      <c r="A33" t="s">
        <v>47</v>
      </c>
      <c r="B33" s="20">
        <v>43447</v>
      </c>
      <c r="C33" s="15" t="s">
        <v>105</v>
      </c>
      <c r="D33">
        <v>101</v>
      </c>
      <c r="E33" s="8">
        <v>19.7</v>
      </c>
    </row>
    <row r="34" spans="1:6">
      <c r="A34" t="s">
        <v>43</v>
      </c>
      <c r="B34" s="20">
        <v>43746</v>
      </c>
      <c r="C34" s="15" t="s">
        <v>105</v>
      </c>
      <c r="D34">
        <v>101</v>
      </c>
      <c r="E34" s="8">
        <v>19.75</v>
      </c>
    </row>
    <row r="35" spans="1:6">
      <c r="A35" t="s">
        <v>47</v>
      </c>
      <c r="B35" s="20">
        <v>43164</v>
      </c>
      <c r="C35" s="15" t="s">
        <v>105</v>
      </c>
      <c r="D35">
        <v>94</v>
      </c>
      <c r="E35" s="8">
        <v>19.75</v>
      </c>
    </row>
    <row r="36" spans="1:6">
      <c r="A36" t="s">
        <v>59</v>
      </c>
      <c r="B36" s="20">
        <v>44031</v>
      </c>
      <c r="C36" s="15" t="s">
        <v>105</v>
      </c>
      <c r="D36">
        <v>104</v>
      </c>
      <c r="E36" s="8">
        <v>20</v>
      </c>
    </row>
    <row r="37" spans="1:6">
      <c r="A37" t="s">
        <v>44</v>
      </c>
      <c r="B37" s="20">
        <v>44031</v>
      </c>
      <c r="C37" s="15" t="s">
        <v>105</v>
      </c>
      <c r="D37">
        <v>94</v>
      </c>
      <c r="E37" s="8">
        <v>20.12</v>
      </c>
    </row>
    <row r="38" spans="1:6">
      <c r="A38" t="s">
        <v>43</v>
      </c>
      <c r="B38" s="20">
        <v>43455</v>
      </c>
      <c r="C38" s="15" t="s">
        <v>105</v>
      </c>
      <c r="D38">
        <v>106</v>
      </c>
      <c r="E38" s="8">
        <v>20.18</v>
      </c>
    </row>
    <row r="39" spans="1:6">
      <c r="A39" t="s">
        <v>43</v>
      </c>
      <c r="B39" s="20">
        <v>44043</v>
      </c>
      <c r="C39" s="15" t="s">
        <v>105</v>
      </c>
      <c r="D39">
        <v>104</v>
      </c>
      <c r="E39" s="8">
        <v>20.68</v>
      </c>
    </row>
    <row r="40" spans="1:6">
      <c r="A40" t="s">
        <v>48</v>
      </c>
      <c r="B40" s="20">
        <v>43147</v>
      </c>
      <c r="C40" s="15" t="s">
        <v>106</v>
      </c>
      <c r="D40">
        <v>110</v>
      </c>
      <c r="E40" s="8"/>
      <c r="F40" s="8">
        <v>10.26</v>
      </c>
    </row>
    <row r="41" spans="1:6">
      <c r="A41" t="s">
        <v>48</v>
      </c>
      <c r="B41" s="20">
        <v>43496</v>
      </c>
      <c r="C41" s="15" t="s">
        <v>106</v>
      </c>
      <c r="D41">
        <v>116</v>
      </c>
      <c r="E41" s="8"/>
      <c r="F41" s="8">
        <v>9.98</v>
      </c>
    </row>
    <row r="42" spans="1:6">
      <c r="A42" t="s">
        <v>48</v>
      </c>
      <c r="B42" s="20">
        <v>43796</v>
      </c>
      <c r="C42" s="15" t="s">
        <v>106</v>
      </c>
      <c r="D42">
        <v>133</v>
      </c>
      <c r="E42" s="8"/>
      <c r="F42" s="8">
        <v>9.93</v>
      </c>
    </row>
    <row r="43" spans="1:6">
      <c r="A43" t="s">
        <v>48</v>
      </c>
      <c r="B43" s="20">
        <v>44023</v>
      </c>
      <c r="C43" s="15" t="s">
        <v>106</v>
      </c>
      <c r="D43">
        <v>131</v>
      </c>
      <c r="E43" s="8"/>
      <c r="F43" s="8">
        <v>9.9499999999999993</v>
      </c>
    </row>
    <row r="44" spans="1:6">
      <c r="A44" t="s">
        <v>48</v>
      </c>
      <c r="B44" s="20">
        <v>44160</v>
      </c>
      <c r="C44" s="15" t="s">
        <v>106</v>
      </c>
      <c r="D44">
        <v>129</v>
      </c>
      <c r="E44" s="8"/>
      <c r="F44" s="8">
        <v>9.9</v>
      </c>
    </row>
    <row r="45" spans="1:6">
      <c r="A45" t="s">
        <v>43</v>
      </c>
      <c r="B45" s="20">
        <v>43746</v>
      </c>
      <c r="C45" s="15" t="s">
        <v>106</v>
      </c>
      <c r="D45">
        <v>104</v>
      </c>
      <c r="E45" s="8"/>
      <c r="F45" s="8">
        <v>10.98</v>
      </c>
    </row>
    <row r="46" spans="1:6">
      <c r="A46" t="s">
        <v>43</v>
      </c>
      <c r="B46" s="20">
        <v>43799</v>
      </c>
      <c r="C46" s="15" t="s">
        <v>106</v>
      </c>
      <c r="D46">
        <v>110</v>
      </c>
      <c r="E46" s="8"/>
      <c r="F46" s="8">
        <v>11.19</v>
      </c>
    </row>
    <row r="47" spans="1:6">
      <c r="A47" t="s">
        <v>43</v>
      </c>
      <c r="B47" s="20">
        <v>43866</v>
      </c>
      <c r="C47" s="15" t="s">
        <v>106</v>
      </c>
      <c r="D47">
        <v>110</v>
      </c>
      <c r="E47" s="8"/>
      <c r="F47" s="8">
        <v>10.9</v>
      </c>
    </row>
    <row r="48" spans="1:6">
      <c r="A48" t="s">
        <v>43</v>
      </c>
      <c r="B48" s="20">
        <v>43991</v>
      </c>
      <c r="C48" s="15" t="s">
        <v>106</v>
      </c>
      <c r="D48">
        <v>125</v>
      </c>
      <c r="E48" s="8"/>
      <c r="F48" s="8">
        <v>11.05</v>
      </c>
    </row>
    <row r="49" spans="1:6">
      <c r="A49" t="s">
        <v>43</v>
      </c>
      <c r="B49" s="20">
        <v>44162</v>
      </c>
      <c r="C49" s="15" t="s">
        <v>106</v>
      </c>
      <c r="D49">
        <v>114</v>
      </c>
      <c r="E49" s="8"/>
      <c r="F49" s="8">
        <v>10.75</v>
      </c>
    </row>
    <row r="50" spans="1:6">
      <c r="A50" t="s">
        <v>44</v>
      </c>
      <c r="B50" s="20">
        <v>43147</v>
      </c>
      <c r="C50" s="15" t="s">
        <v>106</v>
      </c>
      <c r="D50">
        <v>104</v>
      </c>
      <c r="E50" s="8"/>
      <c r="F50" s="8">
        <v>10.94</v>
      </c>
    </row>
    <row r="51" spans="1:6">
      <c r="A51" t="s">
        <v>44</v>
      </c>
      <c r="B51" s="20">
        <v>43393</v>
      </c>
      <c r="C51" s="15" t="s">
        <v>106</v>
      </c>
      <c r="D51">
        <v>114</v>
      </c>
      <c r="E51" s="8"/>
      <c r="F51" s="8">
        <v>10.9</v>
      </c>
    </row>
    <row r="52" spans="1:6">
      <c r="A52" t="s">
        <v>44</v>
      </c>
      <c r="B52" s="20">
        <v>44030</v>
      </c>
      <c r="C52" s="15" t="s">
        <v>106</v>
      </c>
      <c r="D52">
        <v>107</v>
      </c>
      <c r="E52" s="8"/>
      <c r="F52" s="8">
        <v>11.7</v>
      </c>
    </row>
    <row r="53" spans="1:6">
      <c r="A53" t="s">
        <v>44</v>
      </c>
      <c r="B53" s="20">
        <v>44160</v>
      </c>
      <c r="C53" s="15" t="s">
        <v>106</v>
      </c>
      <c r="D53">
        <v>112</v>
      </c>
      <c r="E53" s="8"/>
      <c r="F53" s="8">
        <v>11.33</v>
      </c>
    </row>
    <row r="54" spans="1:6">
      <c r="A54" t="s">
        <v>39</v>
      </c>
      <c r="B54" s="20">
        <v>43197</v>
      </c>
      <c r="C54" s="15" t="s">
        <v>106</v>
      </c>
      <c r="D54">
        <v>123</v>
      </c>
      <c r="E54" s="8"/>
      <c r="F54" s="8">
        <v>9.64</v>
      </c>
    </row>
    <row r="55" spans="1:6">
      <c r="A55" t="s">
        <v>39</v>
      </c>
      <c r="B55" s="20">
        <v>43393</v>
      </c>
      <c r="C55" s="15" t="s">
        <v>106</v>
      </c>
      <c r="D55">
        <v>127</v>
      </c>
      <c r="E55" s="8"/>
      <c r="F55" s="8">
        <v>9.64</v>
      </c>
    </row>
    <row r="56" spans="1:6">
      <c r="A56" t="s">
        <v>39</v>
      </c>
      <c r="B56" s="20">
        <v>43485</v>
      </c>
      <c r="C56" s="15" t="s">
        <v>106</v>
      </c>
      <c r="D56">
        <v>118</v>
      </c>
      <c r="E56" s="8"/>
      <c r="F56" s="8">
        <v>9.68</v>
      </c>
    </row>
    <row r="57" spans="1:6">
      <c r="A57" t="s">
        <v>39</v>
      </c>
      <c r="B57" s="20">
        <v>43814</v>
      </c>
      <c r="C57" s="15" t="s">
        <v>106</v>
      </c>
      <c r="D57">
        <v>133</v>
      </c>
      <c r="E57" s="8"/>
      <c r="F57" s="8">
        <v>9.75</v>
      </c>
    </row>
    <row r="58" spans="1:6">
      <c r="A58" t="s">
        <v>39</v>
      </c>
      <c r="B58" s="20">
        <v>43890</v>
      </c>
      <c r="C58" s="15" t="s">
        <v>106</v>
      </c>
      <c r="D58">
        <v>127</v>
      </c>
      <c r="E58" s="8"/>
      <c r="F58" s="8">
        <v>9.73</v>
      </c>
    </row>
    <row r="59" spans="1:6">
      <c r="A59" t="s">
        <v>39</v>
      </c>
      <c r="B59" s="20">
        <v>44162</v>
      </c>
      <c r="C59" s="15" t="s">
        <v>106</v>
      </c>
      <c r="D59">
        <v>129</v>
      </c>
      <c r="E59" s="8"/>
      <c r="F59" s="8">
        <v>9.68</v>
      </c>
    </row>
    <row r="60" spans="1:6">
      <c r="A60" t="s">
        <v>41</v>
      </c>
      <c r="B60" s="20">
        <v>43124</v>
      </c>
      <c r="C60" s="15" t="s">
        <v>106</v>
      </c>
      <c r="D60">
        <v>106</v>
      </c>
      <c r="E60" s="8"/>
      <c r="F60" s="8">
        <v>10.199999999999999</v>
      </c>
    </row>
    <row r="61" spans="1:6">
      <c r="A61" t="s">
        <v>41</v>
      </c>
      <c r="B61" s="20">
        <v>43447</v>
      </c>
      <c r="C61" s="15" t="s">
        <v>106</v>
      </c>
      <c r="D61">
        <v>106</v>
      </c>
      <c r="E61" s="8"/>
      <c r="F61" s="8">
        <v>10.24</v>
      </c>
    </row>
    <row r="62" spans="1:6">
      <c r="A62" t="s">
        <v>41</v>
      </c>
      <c r="B62" s="20">
        <v>43755</v>
      </c>
      <c r="C62" s="15" t="s">
        <v>106</v>
      </c>
      <c r="D62">
        <v>122</v>
      </c>
      <c r="E62" s="8"/>
      <c r="F62" s="8">
        <v>10.06</v>
      </c>
    </row>
    <row r="63" spans="1:6">
      <c r="A63" t="s">
        <v>41</v>
      </c>
      <c r="B63" s="20">
        <v>43844</v>
      </c>
      <c r="C63" s="15" t="s">
        <v>106</v>
      </c>
      <c r="D63">
        <v>133</v>
      </c>
      <c r="E63" s="8"/>
      <c r="F63" s="8">
        <v>10.49</v>
      </c>
    </row>
    <row r="64" spans="1:6">
      <c r="A64" t="s">
        <v>41</v>
      </c>
      <c r="B64" s="20">
        <v>43970</v>
      </c>
      <c r="C64" s="15" t="s">
        <v>106</v>
      </c>
      <c r="D64">
        <v>140</v>
      </c>
      <c r="E64" s="8"/>
      <c r="F64" s="8">
        <v>10.37</v>
      </c>
    </row>
    <row r="65" spans="1:6">
      <c r="A65" t="s">
        <v>41</v>
      </c>
      <c r="B65" s="20">
        <v>44162</v>
      </c>
      <c r="C65" s="15" t="s">
        <v>106</v>
      </c>
      <c r="D65">
        <v>123</v>
      </c>
      <c r="E65" s="8"/>
      <c r="F65" s="8">
        <v>10.28</v>
      </c>
    </row>
    <row r="66" spans="1:6">
      <c r="A66" t="s">
        <v>47</v>
      </c>
      <c r="B66" s="20">
        <v>43146</v>
      </c>
      <c r="C66" s="15" t="s">
        <v>106</v>
      </c>
      <c r="D66">
        <v>104</v>
      </c>
      <c r="E66" s="8"/>
      <c r="F66" s="8">
        <v>10.89</v>
      </c>
    </row>
    <row r="67" spans="1:6">
      <c r="A67" t="s">
        <v>47</v>
      </c>
      <c r="B67" s="20">
        <v>43447</v>
      </c>
      <c r="C67" s="15" t="s">
        <v>106</v>
      </c>
      <c r="D67">
        <v>104</v>
      </c>
      <c r="E67" s="8"/>
      <c r="F67" s="8">
        <v>10.97</v>
      </c>
    </row>
    <row r="68" spans="1:6">
      <c r="A68" t="s">
        <v>47</v>
      </c>
      <c r="B68" s="20">
        <v>43477</v>
      </c>
      <c r="C68" s="15" t="s">
        <v>106</v>
      </c>
      <c r="D68">
        <v>106</v>
      </c>
      <c r="E68" s="8"/>
      <c r="F68" s="8">
        <v>10.93</v>
      </c>
    </row>
    <row r="69" spans="1:6">
      <c r="A69" t="s">
        <v>47</v>
      </c>
      <c r="B69" s="20">
        <v>43746</v>
      </c>
      <c r="C69" s="15" t="s">
        <v>106</v>
      </c>
      <c r="D69">
        <v>114</v>
      </c>
      <c r="E69" s="8"/>
      <c r="F69" s="8">
        <v>10.98</v>
      </c>
    </row>
    <row r="70" spans="1:6">
      <c r="A70" t="s">
        <v>47</v>
      </c>
      <c r="B70" s="20">
        <v>43813</v>
      </c>
      <c r="C70" s="15" t="s">
        <v>106</v>
      </c>
      <c r="D70">
        <v>113</v>
      </c>
      <c r="E70" s="8"/>
      <c r="F70" s="8">
        <v>10.82</v>
      </c>
    </row>
    <row r="71" spans="1:6">
      <c r="A71" t="s">
        <v>47</v>
      </c>
      <c r="B71" s="20">
        <v>43888</v>
      </c>
      <c r="C71" s="15" t="s">
        <v>106</v>
      </c>
      <c r="D71">
        <v>116</v>
      </c>
      <c r="E71" s="8"/>
      <c r="F71" s="8">
        <v>10.76</v>
      </c>
    </row>
    <row r="72" spans="1:6">
      <c r="A72" t="s">
        <v>47</v>
      </c>
      <c r="B72" s="20">
        <v>44030</v>
      </c>
      <c r="C72" s="15" t="s">
        <v>106</v>
      </c>
      <c r="D72">
        <v>118</v>
      </c>
      <c r="E72" s="8"/>
      <c r="F72" s="8">
        <v>10.69</v>
      </c>
    </row>
    <row r="73" spans="1:6">
      <c r="A73" t="s">
        <v>55</v>
      </c>
      <c r="B73" s="20">
        <v>43746</v>
      </c>
      <c r="C73" s="15" t="s">
        <v>106</v>
      </c>
      <c r="D73">
        <v>108</v>
      </c>
      <c r="E73" s="8"/>
      <c r="F73" s="8">
        <v>10.08</v>
      </c>
    </row>
    <row r="74" spans="1:6">
      <c r="A74" t="s">
        <v>55</v>
      </c>
      <c r="B74" s="20">
        <v>43885</v>
      </c>
      <c r="C74" s="15" t="s">
        <v>106</v>
      </c>
      <c r="D74">
        <v>118</v>
      </c>
      <c r="E74" s="8"/>
      <c r="F74" s="8">
        <v>9.91</v>
      </c>
    </row>
    <row r="75" spans="1:6">
      <c r="A75" t="s">
        <v>55</v>
      </c>
      <c r="B75" s="20">
        <v>44030</v>
      </c>
      <c r="C75" s="15" t="s">
        <v>106</v>
      </c>
      <c r="D75">
        <v>131</v>
      </c>
      <c r="E75" s="8"/>
      <c r="F75" s="8">
        <v>9.86</v>
      </c>
    </row>
    <row r="76" spans="1:6">
      <c r="A76" t="s">
        <v>55</v>
      </c>
      <c r="B76" s="20">
        <v>44162</v>
      </c>
      <c r="C76" s="15" t="s">
        <v>106</v>
      </c>
      <c r="D76">
        <v>131</v>
      </c>
      <c r="E76" s="8"/>
      <c r="F76" s="8">
        <v>9.7200000000000006</v>
      </c>
    </row>
    <row r="77" spans="1:6">
      <c r="A77" t="s">
        <v>59</v>
      </c>
      <c r="B77" s="20">
        <v>44012</v>
      </c>
      <c r="C77" s="15" t="s">
        <v>106</v>
      </c>
      <c r="D77">
        <v>125</v>
      </c>
      <c r="E77" s="8"/>
      <c r="F77" s="8">
        <v>11.04</v>
      </c>
    </row>
    <row r="78" spans="1:6">
      <c r="A78" t="s">
        <v>59</v>
      </c>
      <c r="B78" s="20">
        <v>44031</v>
      </c>
      <c r="C78" s="15" t="s">
        <v>106</v>
      </c>
      <c r="D78">
        <v>119</v>
      </c>
      <c r="E78" s="8"/>
      <c r="F78" s="8">
        <v>10.93</v>
      </c>
    </row>
    <row r="79" spans="1:6">
      <c r="A79" t="s">
        <v>59</v>
      </c>
      <c r="B79" s="20">
        <v>44162</v>
      </c>
      <c r="C79" s="15" t="s">
        <v>106</v>
      </c>
      <c r="D79">
        <v>118</v>
      </c>
      <c r="E79" s="8"/>
      <c r="F79" s="8">
        <v>10.87</v>
      </c>
    </row>
    <row r="80" spans="1:6">
      <c r="A80" t="s">
        <v>40</v>
      </c>
      <c r="B80" s="20">
        <v>43133</v>
      </c>
      <c r="C80" s="15" t="s">
        <v>106</v>
      </c>
      <c r="D80">
        <v>123</v>
      </c>
      <c r="E80" s="8"/>
      <c r="F80" s="8">
        <v>9.7100000000000009</v>
      </c>
    </row>
    <row r="81" spans="1:7">
      <c r="A81" t="s">
        <v>40</v>
      </c>
      <c r="B81" s="20">
        <v>43360</v>
      </c>
      <c r="C81" s="15" t="s">
        <v>106</v>
      </c>
      <c r="D81">
        <v>120</v>
      </c>
      <c r="E81" s="8"/>
      <c r="F81" s="8">
        <v>9.7799999999999994</v>
      </c>
    </row>
    <row r="82" spans="1:7">
      <c r="A82" t="s">
        <v>40</v>
      </c>
      <c r="B82" s="20">
        <v>43485</v>
      </c>
      <c r="C82" s="15" t="s">
        <v>106</v>
      </c>
      <c r="D82">
        <v>114</v>
      </c>
      <c r="E82" s="8"/>
      <c r="F82" s="8">
        <v>9.68</v>
      </c>
    </row>
    <row r="83" spans="1:7">
      <c r="A83" t="s">
        <v>40</v>
      </c>
      <c r="B83" s="20">
        <v>43814</v>
      </c>
      <c r="C83" s="15" t="s">
        <v>106</v>
      </c>
      <c r="D83">
        <v>125</v>
      </c>
      <c r="E83" s="8"/>
      <c r="F83" s="8">
        <v>9.6</v>
      </c>
    </row>
    <row r="84" spans="1:7">
      <c r="A84" t="s">
        <v>40</v>
      </c>
      <c r="B84" s="20">
        <v>43890</v>
      </c>
      <c r="C84" s="15" t="s">
        <v>106</v>
      </c>
      <c r="D84">
        <v>131</v>
      </c>
      <c r="E84" s="8"/>
      <c r="F84" s="8">
        <v>9.6300000000000008</v>
      </c>
    </row>
    <row r="85" spans="1:7">
      <c r="A85" t="s">
        <v>40</v>
      </c>
      <c r="B85" s="20">
        <v>44162</v>
      </c>
      <c r="C85" s="15" t="s">
        <v>106</v>
      </c>
      <c r="D85">
        <v>127</v>
      </c>
      <c r="E85" s="8"/>
      <c r="F85" s="8">
        <v>9.61</v>
      </c>
    </row>
    <row r="86" spans="1:7">
      <c r="A86" t="s">
        <v>40</v>
      </c>
      <c r="B86" s="20">
        <v>43447</v>
      </c>
      <c r="C86" s="15" t="s">
        <v>107</v>
      </c>
      <c r="D86">
        <v>108</v>
      </c>
      <c r="E86" s="8"/>
      <c r="G86" s="8">
        <v>25.22</v>
      </c>
    </row>
    <row r="87" spans="1:7">
      <c r="A87" t="s">
        <v>40</v>
      </c>
      <c r="B87" s="20">
        <v>43746</v>
      </c>
      <c r="C87" s="15" t="s">
        <v>107</v>
      </c>
      <c r="D87">
        <v>110</v>
      </c>
      <c r="E87" s="8"/>
      <c r="G87" s="8">
        <v>25.36</v>
      </c>
    </row>
    <row r="88" spans="1:7">
      <c r="A88" t="s">
        <v>39</v>
      </c>
      <c r="B88" s="20">
        <v>43447</v>
      </c>
      <c r="C88" s="15" t="s">
        <v>107</v>
      </c>
      <c r="D88">
        <v>114</v>
      </c>
      <c r="E88" s="8"/>
      <c r="G88" s="8">
        <v>25.49</v>
      </c>
    </row>
    <row r="89" spans="1:7">
      <c r="A89" t="s">
        <v>39</v>
      </c>
      <c r="B89" s="20">
        <v>43124</v>
      </c>
      <c r="C89" s="15" t="s">
        <v>107</v>
      </c>
      <c r="D89">
        <v>105</v>
      </c>
      <c r="E89" s="8"/>
      <c r="G89" s="8">
        <v>25.67</v>
      </c>
    </row>
    <row r="90" spans="1:7">
      <c r="A90" t="s">
        <v>40</v>
      </c>
      <c r="B90" s="20">
        <v>43124</v>
      </c>
      <c r="C90" s="15" t="s">
        <v>107</v>
      </c>
      <c r="D90">
        <v>104</v>
      </c>
      <c r="E90" s="8"/>
      <c r="G90" s="8">
        <v>25.7</v>
      </c>
    </row>
    <row r="91" spans="1:7">
      <c r="A91" t="s">
        <v>55</v>
      </c>
      <c r="B91" s="20">
        <v>44012</v>
      </c>
      <c r="C91" s="15" t="s">
        <v>107</v>
      </c>
      <c r="D91">
        <v>140</v>
      </c>
      <c r="E91" s="8"/>
      <c r="G91" s="8">
        <v>26.2</v>
      </c>
    </row>
    <row r="92" spans="1:7">
      <c r="A92" t="s">
        <v>41</v>
      </c>
      <c r="B92" s="20">
        <v>43124</v>
      </c>
      <c r="C92" s="15" t="s">
        <v>107</v>
      </c>
      <c r="D92">
        <v>104</v>
      </c>
      <c r="E92" s="8"/>
      <c r="G92" s="8">
        <v>26.21</v>
      </c>
    </row>
    <row r="93" spans="1:7">
      <c r="A93" t="s">
        <v>41</v>
      </c>
      <c r="B93" s="20">
        <v>43746</v>
      </c>
      <c r="C93" s="15" t="s">
        <v>107</v>
      </c>
      <c r="D93">
        <v>106</v>
      </c>
      <c r="E93" s="8"/>
      <c r="G93" s="8">
        <v>26.3</v>
      </c>
    </row>
    <row r="94" spans="1:7">
      <c r="A94" t="s">
        <v>55</v>
      </c>
      <c r="B94" s="20">
        <v>43746</v>
      </c>
      <c r="C94" s="15" t="s">
        <v>107</v>
      </c>
      <c r="D94">
        <v>108</v>
      </c>
      <c r="E94" s="8"/>
      <c r="G94" s="8">
        <v>26.46</v>
      </c>
    </row>
    <row r="95" spans="1:7">
      <c r="A95" t="s">
        <v>48</v>
      </c>
      <c r="B95" s="20">
        <v>43970</v>
      </c>
      <c r="C95" s="15" t="s">
        <v>107</v>
      </c>
      <c r="D95">
        <v>140</v>
      </c>
      <c r="E95" s="8"/>
      <c r="G95" s="8">
        <v>26.54</v>
      </c>
    </row>
    <row r="96" spans="1:7">
      <c r="A96" t="s">
        <v>41</v>
      </c>
      <c r="B96" s="20">
        <v>43447</v>
      </c>
      <c r="C96" s="15" t="s">
        <v>107</v>
      </c>
      <c r="D96">
        <v>104</v>
      </c>
      <c r="E96" s="8"/>
      <c r="G96" s="8">
        <v>26.55</v>
      </c>
    </row>
    <row r="97" spans="1:7">
      <c r="A97" t="s">
        <v>48</v>
      </c>
      <c r="B97" s="20">
        <v>43124</v>
      </c>
      <c r="C97" s="15" t="s">
        <v>107</v>
      </c>
      <c r="D97">
        <v>104</v>
      </c>
      <c r="E97" s="8"/>
      <c r="G97" s="8">
        <v>26.66</v>
      </c>
    </row>
    <row r="98" spans="1:7">
      <c r="A98" t="s">
        <v>48</v>
      </c>
      <c r="B98" s="20">
        <v>43746</v>
      </c>
      <c r="C98" s="15" t="s">
        <v>107</v>
      </c>
      <c r="D98">
        <v>106</v>
      </c>
      <c r="E98" s="8"/>
      <c r="G98" s="8">
        <v>26.71</v>
      </c>
    </row>
    <row r="99" spans="1:7">
      <c r="A99" t="s">
        <v>41</v>
      </c>
      <c r="B99" s="20">
        <v>43970</v>
      </c>
      <c r="C99" s="15" t="s">
        <v>107</v>
      </c>
      <c r="D99">
        <v>140</v>
      </c>
      <c r="E99" s="8"/>
      <c r="G99" s="8">
        <v>26.92</v>
      </c>
    </row>
    <row r="100" spans="1:7">
      <c r="A100" t="s">
        <v>39</v>
      </c>
      <c r="B100" s="20">
        <v>43991</v>
      </c>
      <c r="C100" s="15" t="s">
        <v>107</v>
      </c>
      <c r="D100">
        <v>139</v>
      </c>
      <c r="E100" s="8"/>
      <c r="G100" s="8">
        <v>27.22</v>
      </c>
    </row>
    <row r="101" spans="1:7">
      <c r="A101" t="s">
        <v>55</v>
      </c>
      <c r="B101" s="20">
        <v>43644</v>
      </c>
      <c r="C101" s="15" t="s">
        <v>107</v>
      </c>
      <c r="D101">
        <v>120</v>
      </c>
      <c r="E101" s="8"/>
      <c r="G101" s="8">
        <v>27.28</v>
      </c>
    </row>
    <row r="102" spans="1:7">
      <c r="A102" t="s">
        <v>47</v>
      </c>
      <c r="B102" s="20">
        <v>43991</v>
      </c>
      <c r="C102" s="15" t="s">
        <v>107</v>
      </c>
      <c r="D102">
        <v>125</v>
      </c>
      <c r="E102" s="8"/>
      <c r="G102" s="8">
        <v>28.23</v>
      </c>
    </row>
    <row r="103" spans="1:7">
      <c r="A103" t="s">
        <v>47</v>
      </c>
      <c r="B103" s="20">
        <v>43447</v>
      </c>
      <c r="C103" s="15" t="s">
        <v>107</v>
      </c>
      <c r="D103">
        <v>104</v>
      </c>
      <c r="E103" s="8"/>
      <c r="G103" s="8">
        <v>28.61</v>
      </c>
    </row>
    <row r="104" spans="1:7">
      <c r="A104" t="s">
        <v>43</v>
      </c>
      <c r="B104" s="20">
        <v>44112</v>
      </c>
      <c r="C104" s="15" t="s">
        <v>107</v>
      </c>
      <c r="D104">
        <v>104</v>
      </c>
      <c r="E104" s="8"/>
      <c r="G104" s="8">
        <v>28.69</v>
      </c>
    </row>
    <row r="105" spans="1:7">
      <c r="A105" t="s">
        <v>47</v>
      </c>
      <c r="B105" s="20">
        <v>43746</v>
      </c>
      <c r="C105" s="15" t="s">
        <v>107</v>
      </c>
      <c r="D105">
        <v>114</v>
      </c>
      <c r="E105" s="8"/>
      <c r="G105" s="8">
        <v>28.71</v>
      </c>
    </row>
    <row r="106" spans="1:7">
      <c r="A106" t="s">
        <v>43</v>
      </c>
      <c r="B106" s="20">
        <v>43991</v>
      </c>
      <c r="C106" s="15" t="s">
        <v>107</v>
      </c>
      <c r="D106">
        <v>125</v>
      </c>
      <c r="E106" s="8"/>
      <c r="G106" s="8">
        <v>29.03</v>
      </c>
    </row>
    <row r="107" spans="1:7">
      <c r="A107" t="s">
        <v>59</v>
      </c>
      <c r="B107" s="20">
        <v>44012</v>
      </c>
      <c r="C107" s="15" t="s">
        <v>107</v>
      </c>
      <c r="D107">
        <v>125</v>
      </c>
      <c r="E107" s="8"/>
      <c r="G107" s="8">
        <v>29.32</v>
      </c>
    </row>
    <row r="108" spans="1:7">
      <c r="A108" t="s">
        <v>44</v>
      </c>
      <c r="B108" s="20">
        <v>43970</v>
      </c>
      <c r="C108" s="15" t="s">
        <v>107</v>
      </c>
      <c r="D108">
        <v>103</v>
      </c>
      <c r="E108" s="8"/>
      <c r="G108" s="8">
        <v>31.29</v>
      </c>
    </row>
    <row r="109" spans="1:7">
      <c r="A109" t="s">
        <v>43</v>
      </c>
      <c r="B109" s="20">
        <v>43889</v>
      </c>
      <c r="C109" s="15" t="s">
        <v>107</v>
      </c>
      <c r="D109">
        <v>103</v>
      </c>
      <c r="E109" s="8"/>
      <c r="G109" s="8">
        <v>32.04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F71D-AE05-4D37-A84F-DBB8BE62832F}">
  <dimension ref="A1:BI143"/>
  <sheetViews>
    <sheetView topLeftCell="A95" workbookViewId="0">
      <pane xSplit="1" topLeftCell="B1" activePane="topRight" state="frozen"/>
      <selection pane="topRight" activeCell="I1" sqref="I1"/>
    </sheetView>
  </sheetViews>
  <sheetFormatPr defaultRowHeight="14.45"/>
  <cols>
    <col min="1" max="1" width="16.28515625" customWidth="1"/>
    <col min="2" max="2" width="10.5703125" bestFit="1" customWidth="1"/>
    <col min="3" max="3" width="8.28515625" customWidth="1"/>
    <col min="4" max="4" width="7.140625" bestFit="1" customWidth="1"/>
    <col min="5" max="5" width="17" bestFit="1" customWidth="1"/>
    <col min="6" max="6" width="21.28515625" bestFit="1" customWidth="1"/>
    <col min="7" max="7" width="26.140625" bestFit="1" customWidth="1"/>
    <col min="8" max="8" width="20.7109375" bestFit="1" customWidth="1"/>
    <col min="9" max="9" width="22.28515625" bestFit="1" customWidth="1"/>
    <col min="10" max="10" width="11.85546875" customWidth="1"/>
    <col min="11" max="11" width="17.28515625" bestFit="1" customWidth="1"/>
    <col min="12" max="12" width="22.28515625" bestFit="1" customWidth="1"/>
    <col min="13" max="13" width="27.7109375" bestFit="1" customWidth="1"/>
    <col min="14" max="16" width="11.140625" bestFit="1" customWidth="1"/>
    <col min="17" max="17" width="15" bestFit="1" customWidth="1"/>
    <col min="46" max="46" width="25.7109375" bestFit="1" customWidth="1"/>
    <col min="47" max="47" width="9" customWidth="1"/>
  </cols>
  <sheetData>
    <row r="1" spans="1:61">
      <c r="A1" t="s">
        <v>0</v>
      </c>
      <c r="B1" s="1" t="s">
        <v>1</v>
      </c>
      <c r="C1" s="2" t="s">
        <v>108</v>
      </c>
      <c r="D1" s="2" t="s">
        <v>88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115</v>
      </c>
      <c r="L1" s="2" t="s">
        <v>116</v>
      </c>
      <c r="M1" s="2" t="s">
        <v>117</v>
      </c>
      <c r="N1" s="2" t="s">
        <v>118</v>
      </c>
      <c r="O1" s="2" t="s">
        <v>119</v>
      </c>
      <c r="P1" s="2" t="s">
        <v>120</v>
      </c>
      <c r="Q1" s="10" t="s">
        <v>121</v>
      </c>
      <c r="R1" s="2" t="s">
        <v>122</v>
      </c>
      <c r="S1" s="2" t="s">
        <v>123</v>
      </c>
      <c r="T1" s="2" t="s">
        <v>124</v>
      </c>
      <c r="U1" s="2" t="s">
        <v>125</v>
      </c>
      <c r="V1" s="2" t="s">
        <v>126</v>
      </c>
      <c r="W1" s="2" t="s">
        <v>127</v>
      </c>
      <c r="X1" s="2" t="s">
        <v>128</v>
      </c>
      <c r="Y1" s="2" t="s">
        <v>129</v>
      </c>
      <c r="Z1" s="2" t="s">
        <v>130</v>
      </c>
      <c r="AA1" s="2" t="s">
        <v>131</v>
      </c>
      <c r="AB1" s="2" t="s">
        <v>132</v>
      </c>
      <c r="AC1" s="2" t="s">
        <v>133</v>
      </c>
      <c r="AD1" s="2" t="s">
        <v>134</v>
      </c>
      <c r="AE1" s="2" t="s">
        <v>135</v>
      </c>
      <c r="AF1" s="2" t="s">
        <v>136</v>
      </c>
      <c r="AG1" s="2" t="s">
        <v>137</v>
      </c>
      <c r="AH1" s="2" t="s">
        <v>138</v>
      </c>
      <c r="AI1" s="2" t="s">
        <v>139</v>
      </c>
      <c r="AJ1" s="2" t="s">
        <v>140</v>
      </c>
      <c r="AK1" s="2" t="s">
        <v>141</v>
      </c>
      <c r="AL1" s="2" t="s">
        <v>142</v>
      </c>
      <c r="AM1" s="2" t="s">
        <v>143</v>
      </c>
      <c r="AN1" s="2" t="s">
        <v>144</v>
      </c>
      <c r="AO1" s="2" t="s">
        <v>145</v>
      </c>
      <c r="AP1" s="2" t="s">
        <v>146</v>
      </c>
      <c r="AQ1" s="2" t="s">
        <v>147</v>
      </c>
      <c r="AR1" s="2" t="s">
        <v>148</v>
      </c>
      <c r="AS1" s="2" t="s">
        <v>89</v>
      </c>
      <c r="AT1" s="2" t="s">
        <v>149</v>
      </c>
      <c r="AU1" s="2" t="s">
        <v>150</v>
      </c>
      <c r="AV1" s="2" t="s">
        <v>151</v>
      </c>
      <c r="AW1" s="2" t="s">
        <v>152</v>
      </c>
      <c r="AX1" s="2" t="s">
        <v>153</v>
      </c>
      <c r="AY1" s="2" t="s">
        <v>154</v>
      </c>
      <c r="AZ1" s="2" t="s">
        <v>155</v>
      </c>
      <c r="BA1" s="2" t="s">
        <v>156</v>
      </c>
      <c r="BB1" s="2" t="s">
        <v>157</v>
      </c>
      <c r="BC1" s="2" t="s">
        <v>158</v>
      </c>
      <c r="BD1" s="2" t="s">
        <v>159</v>
      </c>
      <c r="BE1" s="2" t="s">
        <v>160</v>
      </c>
      <c r="BF1" s="2" t="s">
        <v>161</v>
      </c>
      <c r="BG1" s="2" t="s">
        <v>162</v>
      </c>
      <c r="BH1" s="2" t="s">
        <v>163</v>
      </c>
      <c r="BI1" s="2" t="s">
        <v>164</v>
      </c>
    </row>
    <row r="2" spans="1:61" hidden="1">
      <c r="A2" t="s">
        <v>165</v>
      </c>
      <c r="B2" s="48">
        <v>43699</v>
      </c>
      <c r="C2" s="6">
        <v>102</v>
      </c>
      <c r="D2" s="7">
        <v>104</v>
      </c>
      <c r="E2" s="7">
        <v>2138</v>
      </c>
      <c r="F2" s="6">
        <f>PowerProfiling[[#This Row],[IL Peak Power (W)]]/PowerProfiling[[#This Row],[Rider Weight]]</f>
        <v>20.96078431372549</v>
      </c>
      <c r="G2" s="7">
        <f>PowerProfiling[[#This Row],[IL Max Cadence (RPM)]]*0.5</f>
        <v>127</v>
      </c>
      <c r="H2" s="7">
        <v>309</v>
      </c>
      <c r="I2">
        <v>254</v>
      </c>
      <c r="J2" s="8">
        <v>31.73</v>
      </c>
      <c r="K2">
        <v>2144</v>
      </c>
      <c r="L2" s="6">
        <f>PowerProfiling[[#This Row],[S500Peak Power]]/PowerProfiling[[#This Row],[Rider Weight]]</f>
        <v>21.019607843137255</v>
      </c>
      <c r="M2" s="6">
        <v>51</v>
      </c>
      <c r="N2">
        <v>1903</v>
      </c>
      <c r="O2">
        <v>1601</v>
      </c>
      <c r="P2">
        <v>1374</v>
      </c>
      <c r="Q2" s="8"/>
      <c r="R2">
        <v>95.5</v>
      </c>
      <c r="S2">
        <v>124.5</v>
      </c>
      <c r="T2">
        <v>144</v>
      </c>
      <c r="U2">
        <v>158.5</v>
      </c>
      <c r="V2">
        <v>169.5</v>
      </c>
      <c r="W2">
        <v>179</v>
      </c>
      <c r="X2">
        <v>193.5</v>
      </c>
      <c r="Y2">
        <v>214.5</v>
      </c>
      <c r="Z2">
        <v>1855.5</v>
      </c>
      <c r="AA2">
        <v>2105</v>
      </c>
      <c r="AB2">
        <v>2264</v>
      </c>
      <c r="AC2">
        <v>2041.5</v>
      </c>
      <c r="AD2">
        <v>1944</v>
      </c>
      <c r="AE2">
        <v>1766.5</v>
      </c>
      <c r="AF2">
        <v>1530.5</v>
      </c>
      <c r="AG2">
        <v>1089</v>
      </c>
      <c r="AH2" s="6">
        <f t="shared" ref="AH2:AO2" si="0">Z2/(R2*(PI()/30))</f>
        <v>185.53633313529539</v>
      </c>
      <c r="AI2" s="6">
        <f t="shared" si="0"/>
        <v>161.45597841370588</v>
      </c>
      <c r="AJ2" s="6">
        <f t="shared" si="0"/>
        <v>150.13616298335461</v>
      </c>
      <c r="AK2" s="6">
        <f t="shared" si="0"/>
        <v>122.99614497997642</v>
      </c>
      <c r="AL2" s="6">
        <f t="shared" si="0"/>
        <v>109.52113606040514</v>
      </c>
      <c r="AM2" s="6">
        <f t="shared" si="0"/>
        <v>94.239287253128424</v>
      </c>
      <c r="AN2" s="6">
        <f t="shared" si="0"/>
        <v>75.530741209967701</v>
      </c>
      <c r="AO2" s="6">
        <f t="shared" si="0"/>
        <v>48.481044203377351</v>
      </c>
      <c r="AP2" s="6">
        <v>22.7</v>
      </c>
      <c r="AQ2" s="6">
        <v>987</v>
      </c>
      <c r="AR2" s="6">
        <v>49</v>
      </c>
      <c r="AS2" s="9">
        <v>1.1559999999999999</v>
      </c>
      <c r="AT2" s="8">
        <v>31.84</v>
      </c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</row>
    <row r="3" spans="1:61" hidden="1">
      <c r="A3" t="s">
        <v>39</v>
      </c>
      <c r="B3" s="5">
        <v>44140</v>
      </c>
      <c r="C3" s="6">
        <v>86.2</v>
      </c>
      <c r="D3" s="7">
        <v>104</v>
      </c>
      <c r="E3" s="7">
        <v>2116</v>
      </c>
      <c r="F3" s="6">
        <f>PowerProfiling[[#This Row],[IL Peak Power (W)]]/PowerProfiling[[#This Row],[Rider Weight]]</f>
        <v>24.547563805104406</v>
      </c>
      <c r="G3" s="7">
        <f>PowerProfiling[[#This Row],[IL Max Cadence (RPM)]]*0.5</f>
        <v>130</v>
      </c>
      <c r="H3" s="7">
        <v>308</v>
      </c>
      <c r="I3">
        <v>260</v>
      </c>
      <c r="K3">
        <v>2220</v>
      </c>
      <c r="L3" s="6">
        <f>PowerProfiling[[#This Row],[S500Peak Power]]/PowerProfiling[[#This Row],[Rider Weight]]</f>
        <v>25.754060324825986</v>
      </c>
      <c r="M3" s="6"/>
      <c r="N3">
        <v>1864</v>
      </c>
      <c r="O3">
        <v>1498</v>
      </c>
      <c r="Q3" s="7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9"/>
      <c r="AT3" s="8"/>
      <c r="AU3">
        <v>2220</v>
      </c>
      <c r="AV3">
        <v>1286</v>
      </c>
      <c r="AW3">
        <v>859</v>
      </c>
      <c r="AX3">
        <v>49</v>
      </c>
      <c r="AY3">
        <v>2092</v>
      </c>
      <c r="AZ3">
        <v>1175</v>
      </c>
      <c r="BA3">
        <v>705</v>
      </c>
      <c r="BB3">
        <v>56</v>
      </c>
      <c r="BC3">
        <v>1625</v>
      </c>
      <c r="BD3">
        <v>783</v>
      </c>
      <c r="BE3">
        <v>316</v>
      </c>
      <c r="BF3">
        <v>74</v>
      </c>
      <c r="BG3" s="6">
        <f>((AU3-BC3)/AU3)*100</f>
        <v>26.801801801801801</v>
      </c>
      <c r="BH3" s="6">
        <f>((AV3-BD3)/AV3)*100</f>
        <v>39.113530326594095</v>
      </c>
      <c r="BI3" s="6"/>
    </row>
    <row r="4" spans="1:61" hidden="1">
      <c r="A4" t="s">
        <v>165</v>
      </c>
      <c r="B4" s="5">
        <v>43472</v>
      </c>
      <c r="C4" s="6">
        <v>98.5</v>
      </c>
      <c r="D4" s="7">
        <v>104</v>
      </c>
      <c r="E4" s="7">
        <v>2094</v>
      </c>
      <c r="F4" s="6">
        <f>PowerProfiling[[#This Row],[IL Peak Power (W)]]/PowerProfiling[[#This Row],[Rider Weight]]</f>
        <v>21.258883248730964</v>
      </c>
      <c r="G4" s="7">
        <f>PowerProfiling[[#This Row],[IL Max Cadence (RPM)]]*0.5</f>
        <v>124.5</v>
      </c>
      <c r="H4" s="7">
        <v>308</v>
      </c>
      <c r="I4">
        <v>249</v>
      </c>
      <c r="J4">
        <v>31.76</v>
      </c>
      <c r="K4">
        <v>2082</v>
      </c>
      <c r="L4" s="6">
        <f>PowerProfiling[[#This Row],[S500Peak Power]]/PowerProfiling[[#This Row],[Rider Weight]]</f>
        <v>21.137055837563452</v>
      </c>
      <c r="M4" s="6">
        <v>56</v>
      </c>
      <c r="N4">
        <v>1895</v>
      </c>
      <c r="O4">
        <v>1576</v>
      </c>
      <c r="P4">
        <v>1335</v>
      </c>
      <c r="Q4" s="8">
        <f>((PowerProfiling[[#This Row],[S500Peak Power]]-PowerProfiling[[#This Row],[30s MMP]])/PowerProfiling[[#This Row],[S500Peak Power]])*100</f>
        <v>35.87896253602306</v>
      </c>
      <c r="R4">
        <v>95.5</v>
      </c>
      <c r="S4">
        <v>124.5</v>
      </c>
      <c r="T4">
        <v>143.5</v>
      </c>
      <c r="U4">
        <v>157.5</v>
      </c>
      <c r="V4">
        <v>168.5</v>
      </c>
      <c r="W4">
        <v>177</v>
      </c>
      <c r="X4">
        <v>190</v>
      </c>
      <c r="Y4">
        <v>205.5</v>
      </c>
      <c r="Z4">
        <v>1827</v>
      </c>
      <c r="AA4">
        <v>2087</v>
      </c>
      <c r="AB4">
        <v>2160</v>
      </c>
      <c r="AC4">
        <v>2051</v>
      </c>
      <c r="AD4">
        <v>1843.5</v>
      </c>
      <c r="AE4">
        <v>1698.5</v>
      </c>
      <c r="AF4">
        <v>1497</v>
      </c>
      <c r="AG4">
        <v>1150</v>
      </c>
      <c r="AH4" s="6">
        <f t="shared" ref="AH4:AO6" si="1">Z4/(R4*(PI()/30))</f>
        <v>182.68654305480175</v>
      </c>
      <c r="AI4" s="6">
        <f t="shared" si="1"/>
        <v>160.07535722061957</v>
      </c>
      <c r="AJ4" s="6">
        <f t="shared" si="1"/>
        <v>143.73854093874311</v>
      </c>
      <c r="AK4" s="6">
        <f t="shared" si="1"/>
        <v>124.35306220246756</v>
      </c>
      <c r="AL4" s="6">
        <f t="shared" si="1"/>
        <v>104.47553860768275</v>
      </c>
      <c r="AM4" s="6">
        <f t="shared" si="1"/>
        <v>91.635481641215009</v>
      </c>
      <c r="AN4" s="6">
        <f t="shared" si="1"/>
        <v>75.238405202705479</v>
      </c>
      <c r="AO4" s="6">
        <f t="shared" si="1"/>
        <v>53.438886001658297</v>
      </c>
      <c r="AP4" s="6">
        <v>27</v>
      </c>
      <c r="AQ4" s="6">
        <v>1011</v>
      </c>
      <c r="AR4" s="6">
        <v>57</v>
      </c>
      <c r="AS4" s="9">
        <v>1.165</v>
      </c>
      <c r="AT4" s="8">
        <v>31.8</v>
      </c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</row>
    <row r="5" spans="1:61" hidden="1">
      <c r="A5" t="s">
        <v>165</v>
      </c>
      <c r="B5" s="5">
        <v>43739</v>
      </c>
      <c r="C5" s="3">
        <v>102.8</v>
      </c>
      <c r="D5" s="4">
        <v>104</v>
      </c>
      <c r="E5" s="4">
        <v>2084</v>
      </c>
      <c r="F5" s="6">
        <f>PowerProfiling[[#This Row],[IL Peak Power (W)]]/PowerProfiling[[#This Row],[Rider Weight]]</f>
        <v>20.27237354085603</v>
      </c>
      <c r="G5" s="7">
        <f>PowerProfiling[[#This Row],[IL Max Cadence (RPM)]]*0.5</f>
        <v>121.5</v>
      </c>
      <c r="H5" s="7">
        <v>310</v>
      </c>
      <c r="I5">
        <v>243</v>
      </c>
      <c r="J5" s="8">
        <v>32</v>
      </c>
      <c r="K5">
        <v>2120</v>
      </c>
      <c r="L5" s="6">
        <f>PowerProfiling[[#This Row],[S500Peak Power]]/PowerProfiling[[#This Row],[Rider Weight]]</f>
        <v>20.622568093385215</v>
      </c>
      <c r="M5" s="6">
        <v>67</v>
      </c>
      <c r="N5">
        <v>1900</v>
      </c>
      <c r="O5">
        <v>1596</v>
      </c>
      <c r="P5">
        <v>1359</v>
      </c>
      <c r="Q5" s="8"/>
      <c r="R5">
        <v>92</v>
      </c>
      <c r="S5">
        <v>122</v>
      </c>
      <c r="T5">
        <v>143</v>
      </c>
      <c r="U5">
        <v>157</v>
      </c>
      <c r="V5">
        <v>167.5</v>
      </c>
      <c r="W5">
        <v>176</v>
      </c>
      <c r="X5">
        <v>185</v>
      </c>
      <c r="Y5">
        <v>209.5</v>
      </c>
      <c r="Z5">
        <v>1747</v>
      </c>
      <c r="AA5">
        <v>2090</v>
      </c>
      <c r="AB5">
        <v>2269</v>
      </c>
      <c r="AC5">
        <v>2014.5</v>
      </c>
      <c r="AD5">
        <v>1739.5</v>
      </c>
      <c r="AE5">
        <v>1636.5</v>
      </c>
      <c r="AF5">
        <v>1433.5</v>
      </c>
      <c r="AG5">
        <v>999</v>
      </c>
      <c r="AH5" s="6">
        <f t="shared" si="1"/>
        <v>181.33283842274426</v>
      </c>
      <c r="AI5" s="6">
        <f t="shared" si="1"/>
        <v>163.59040871904654</v>
      </c>
      <c r="AJ5" s="6">
        <f t="shared" si="1"/>
        <v>151.51995771000443</v>
      </c>
      <c r="AK5" s="6">
        <f t="shared" si="1"/>
        <v>122.52903166571585</v>
      </c>
      <c r="AL5" s="6">
        <f t="shared" si="1"/>
        <v>99.170157674633529</v>
      </c>
      <c r="AM5" s="6">
        <f t="shared" si="1"/>
        <v>88.792181035188662</v>
      </c>
      <c r="AN5" s="6">
        <f t="shared" si="1"/>
        <v>73.994144082886052</v>
      </c>
      <c r="AO5" s="6">
        <f t="shared" si="1"/>
        <v>45.535786581996213</v>
      </c>
      <c r="AP5" s="6">
        <v>22.4</v>
      </c>
      <c r="AQ5" s="6">
        <v>1001.8</v>
      </c>
      <c r="AR5" s="6">
        <v>51.2</v>
      </c>
      <c r="AS5" s="9">
        <v>1.1859999999999999</v>
      </c>
      <c r="AT5" s="8">
        <v>31.93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</row>
    <row r="6" spans="1:61" hidden="1">
      <c r="A6" t="s">
        <v>165</v>
      </c>
      <c r="B6" s="5">
        <v>43430</v>
      </c>
      <c r="C6">
        <v>99.5</v>
      </c>
      <c r="D6">
        <v>104</v>
      </c>
      <c r="E6" s="7">
        <v>2021.0276000000003</v>
      </c>
      <c r="F6" s="6">
        <f>PowerProfiling[[#This Row],[IL Peak Power (W)]]/PowerProfiling[[#This Row],[Rider Weight]]</f>
        <v>20.311835175879402</v>
      </c>
      <c r="G6" s="7">
        <f>PowerProfiling[[#This Row],[IL Max Cadence (RPM)]]*0.5</f>
        <v>122</v>
      </c>
      <c r="H6" s="7">
        <v>306.51100950224401</v>
      </c>
      <c r="I6">
        <v>244</v>
      </c>
      <c r="J6">
        <v>31.79</v>
      </c>
      <c r="K6">
        <v>2108</v>
      </c>
      <c r="L6" s="6">
        <f>PowerProfiling[[#This Row],[S500Peak Power]]/PowerProfiling[[#This Row],[Rider Weight]]</f>
        <v>21.185929648241206</v>
      </c>
      <c r="M6" s="6">
        <v>59</v>
      </c>
      <c r="N6">
        <v>1850</v>
      </c>
      <c r="O6">
        <v>1546</v>
      </c>
      <c r="P6">
        <v>1312</v>
      </c>
      <c r="Q6" s="8">
        <f>((PowerProfiling[[#This Row],[S500Peak Power]]-PowerProfiling[[#This Row],[30s MMP]])/PowerProfiling[[#This Row],[S500Peak Power]])*100</f>
        <v>37.760910815939283</v>
      </c>
      <c r="R6">
        <v>100</v>
      </c>
      <c r="S6">
        <v>125.5</v>
      </c>
      <c r="T6">
        <v>143</v>
      </c>
      <c r="U6">
        <v>156.5</v>
      </c>
      <c r="V6">
        <v>166.5</v>
      </c>
      <c r="W6">
        <v>176</v>
      </c>
      <c r="X6">
        <v>181.5</v>
      </c>
      <c r="Y6">
        <v>199.5</v>
      </c>
      <c r="Z6">
        <v>1841.5</v>
      </c>
      <c r="AA6">
        <v>2014</v>
      </c>
      <c r="AB6">
        <v>2031.5</v>
      </c>
      <c r="AC6">
        <v>1961</v>
      </c>
      <c r="AD6">
        <v>1774</v>
      </c>
      <c r="AE6">
        <v>1631</v>
      </c>
      <c r="AF6">
        <v>1492</v>
      </c>
      <c r="AG6">
        <v>1169.5</v>
      </c>
      <c r="AH6" s="6">
        <f t="shared" si="1"/>
        <v>175.85029662223519</v>
      </c>
      <c r="AI6" s="6">
        <f t="shared" si="1"/>
        <v>153.24528544402099</v>
      </c>
      <c r="AJ6" s="6">
        <f t="shared" si="1"/>
        <v>135.66011198231556</v>
      </c>
      <c r="AK6" s="6">
        <f t="shared" si="1"/>
        <v>119.65604219931249</v>
      </c>
      <c r="AL6" s="6">
        <f t="shared" si="1"/>
        <v>101.74445731352156</v>
      </c>
      <c r="AM6" s="6">
        <f t="shared" si="1"/>
        <v>88.493765516891358</v>
      </c>
      <c r="AN6" s="6">
        <f t="shared" si="1"/>
        <v>78.498900857225735</v>
      </c>
      <c r="AO6" s="6">
        <f t="shared" si="1"/>
        <v>55.979460434878682</v>
      </c>
      <c r="AP6" s="6">
        <v>25.2</v>
      </c>
      <c r="AQ6" s="6">
        <v>994</v>
      </c>
      <c r="AR6" s="6">
        <v>54</v>
      </c>
      <c r="AS6" s="9">
        <v>1.1859999999999999</v>
      </c>
      <c r="AT6" s="8">
        <v>31.93</v>
      </c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61" hidden="1">
      <c r="A7" t="s">
        <v>39</v>
      </c>
      <c r="B7" s="5">
        <v>44097</v>
      </c>
      <c r="C7" s="6">
        <v>88.3</v>
      </c>
      <c r="D7" s="7">
        <v>104</v>
      </c>
      <c r="E7" s="7">
        <v>2021</v>
      </c>
      <c r="F7" s="6">
        <f>PowerProfiling[[#This Row],[IL Peak Power (W)]]/PowerProfiling[[#This Row],[Rider Weight]]</f>
        <v>22.887882219705549</v>
      </c>
      <c r="G7" s="7">
        <f>PowerProfiling[[#This Row],[IL Max Cadence (RPM)]]*0.5</f>
        <v>133.5</v>
      </c>
      <c r="H7" s="7">
        <v>278</v>
      </c>
      <c r="I7">
        <v>267</v>
      </c>
      <c r="K7">
        <v>2125</v>
      </c>
      <c r="L7" s="6">
        <f>PowerProfiling[[#This Row],[S500Peak Power]]/PowerProfiling[[#This Row],[Rider Weight]]</f>
        <v>24.065685164212912</v>
      </c>
      <c r="M7" s="6"/>
      <c r="N7">
        <v>1839</v>
      </c>
      <c r="O7">
        <v>1484</v>
      </c>
      <c r="Q7" s="7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9"/>
      <c r="AT7" s="8"/>
      <c r="AU7">
        <v>2125</v>
      </c>
      <c r="AV7">
        <v>1272</v>
      </c>
      <c r="AW7">
        <v>876</v>
      </c>
      <c r="AX7">
        <v>47</v>
      </c>
      <c r="AY7">
        <v>2052</v>
      </c>
      <c r="AZ7">
        <v>1121</v>
      </c>
      <c r="BA7">
        <v>626</v>
      </c>
      <c r="BB7">
        <v>60</v>
      </c>
      <c r="BC7">
        <v>1753</v>
      </c>
      <c r="BD7">
        <v>834</v>
      </c>
      <c r="BE7">
        <v>329</v>
      </c>
      <c r="BF7">
        <v>76</v>
      </c>
      <c r="BG7" s="6">
        <f>((AU7-BC7)/AU7)*100</f>
        <v>17.505882352941178</v>
      </c>
      <c r="BH7" s="6">
        <f>((AV7-BD7)/AV7)*100</f>
        <v>34.433962264150942</v>
      </c>
      <c r="BI7" s="6"/>
    </row>
    <row r="8" spans="1:61" hidden="1">
      <c r="A8" t="s">
        <v>166</v>
      </c>
      <c r="B8" s="5">
        <v>43472</v>
      </c>
      <c r="C8" s="6">
        <v>89.6</v>
      </c>
      <c r="D8" s="7">
        <v>104</v>
      </c>
      <c r="E8" s="7">
        <v>2020</v>
      </c>
      <c r="F8" s="6">
        <f>PowerProfiling[[#This Row],[IL Peak Power (W)]]/PowerProfiling[[#This Row],[Rider Weight]]</f>
        <v>22.544642857142858</v>
      </c>
      <c r="G8" s="7">
        <f>PowerProfiling[[#This Row],[IL Max Cadence (RPM)]]*0.5</f>
        <v>135.5</v>
      </c>
      <c r="H8" s="7">
        <v>281</v>
      </c>
      <c r="I8">
        <v>271</v>
      </c>
      <c r="J8">
        <v>32.11</v>
      </c>
      <c r="K8">
        <v>2011</v>
      </c>
      <c r="L8" s="6">
        <f>PowerProfiling[[#This Row],[S500Peak Power]]/PowerProfiling[[#This Row],[Rider Weight]]</f>
        <v>22.444196428571431</v>
      </c>
      <c r="M8" s="6">
        <v>71</v>
      </c>
      <c r="N8">
        <v>1735</v>
      </c>
      <c r="O8">
        <v>1442</v>
      </c>
      <c r="P8">
        <v>1238</v>
      </c>
      <c r="Q8" s="8">
        <f>((PowerProfiling[[#This Row],[S500Peak Power]]-PowerProfiling[[#This Row],[30s MMP]])/PowerProfiling[[#This Row],[S500Peak Power]])*100</f>
        <v>38.438587767279955</v>
      </c>
      <c r="R8">
        <v>97.5</v>
      </c>
      <c r="S8">
        <v>124.5</v>
      </c>
      <c r="T8">
        <v>142.5</v>
      </c>
      <c r="U8">
        <v>168.5</v>
      </c>
      <c r="V8">
        <v>185.5</v>
      </c>
      <c r="W8">
        <v>199.5</v>
      </c>
      <c r="X8">
        <v>207.5</v>
      </c>
      <c r="Y8">
        <v>219</v>
      </c>
      <c r="Z8">
        <v>1818.5</v>
      </c>
      <c r="AA8">
        <v>1966.5</v>
      </c>
      <c r="AB8">
        <v>2071.5</v>
      </c>
      <c r="AC8">
        <v>1975.5</v>
      </c>
      <c r="AD8">
        <v>1718</v>
      </c>
      <c r="AE8">
        <v>1571.5</v>
      </c>
      <c r="AF8">
        <v>1457.5</v>
      </c>
      <c r="AG8">
        <v>1249</v>
      </c>
      <c r="AH8" s="6">
        <f t="shared" ref="AH8:AO9" si="2">Z8/(R8*(PI()/30))</f>
        <v>178.10662400776104</v>
      </c>
      <c r="AI8" s="6">
        <f t="shared" si="2"/>
        <v>150.83286534468058</v>
      </c>
      <c r="AJ8" s="6">
        <f t="shared" si="2"/>
        <v>138.81661667994157</v>
      </c>
      <c r="AK8" s="6">
        <f t="shared" si="2"/>
        <v>111.95629320286264</v>
      </c>
      <c r="AL8" s="6">
        <f t="shared" si="2"/>
        <v>88.440385627561042</v>
      </c>
      <c r="AM8" s="6">
        <f t="shared" si="2"/>
        <v>75.221652050801069</v>
      </c>
      <c r="AN8" s="6">
        <f t="shared" si="2"/>
        <v>67.0751796307771</v>
      </c>
      <c r="AO8" s="6">
        <f t="shared" si="2"/>
        <v>54.461513403226654</v>
      </c>
      <c r="AP8" s="6">
        <v>27</v>
      </c>
      <c r="AQ8" s="6">
        <v>1011</v>
      </c>
      <c r="AR8" s="6">
        <v>57</v>
      </c>
      <c r="AS8" s="9">
        <v>1.165</v>
      </c>
      <c r="AT8" s="8">
        <v>32.11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61" hidden="1">
      <c r="A9" t="s">
        <v>39</v>
      </c>
      <c r="B9" s="49">
        <v>43430</v>
      </c>
      <c r="C9" s="3">
        <v>86.9</v>
      </c>
      <c r="D9" s="4">
        <v>104</v>
      </c>
      <c r="E9" s="7">
        <v>2017.6681250000001</v>
      </c>
      <c r="F9" s="6">
        <f>PowerProfiling[[#This Row],[IL Peak Power (W)]]/PowerProfiling[[#This Row],[Rider Weight]]</f>
        <v>23.218275316455696</v>
      </c>
      <c r="G9" s="7">
        <f>PowerProfiling[[#This Row],[IL Max Cadence (RPM)]]*0.5</f>
        <v>134.5</v>
      </c>
      <c r="H9" s="7">
        <v>282.82063921059199</v>
      </c>
      <c r="I9">
        <v>269</v>
      </c>
      <c r="J9">
        <v>31.18</v>
      </c>
      <c r="K9">
        <v>2199</v>
      </c>
      <c r="L9" s="6">
        <f>PowerProfiling[[#This Row],[S500Peak Power]]/PowerProfiling[[#This Row],[Rider Weight]]</f>
        <v>25.30494821634062</v>
      </c>
      <c r="M9" s="6">
        <v>67</v>
      </c>
      <c r="N9">
        <v>1857</v>
      </c>
      <c r="O9">
        <v>1486</v>
      </c>
      <c r="P9">
        <v>1230</v>
      </c>
      <c r="Q9" s="8">
        <f>((PowerProfiling[[#This Row],[S500Peak Power]]-PowerProfiling[[#This Row],[30s MMP]])/PowerProfiling[[#This Row],[S500Peak Power]])*100</f>
        <v>44.065484311050476</v>
      </c>
      <c r="R9">
        <v>97</v>
      </c>
      <c r="S9">
        <v>123.5</v>
      </c>
      <c r="T9">
        <v>141.5</v>
      </c>
      <c r="U9">
        <v>156</v>
      </c>
      <c r="V9">
        <v>171.5</v>
      </c>
      <c r="W9">
        <v>187</v>
      </c>
      <c r="X9">
        <v>197</v>
      </c>
      <c r="Y9">
        <v>214</v>
      </c>
      <c r="Z9">
        <v>1810</v>
      </c>
      <c r="AA9">
        <v>1990.5</v>
      </c>
      <c r="AB9">
        <v>2081.5</v>
      </c>
      <c r="AC9">
        <v>1966.5</v>
      </c>
      <c r="AD9">
        <v>1855.5</v>
      </c>
      <c r="AE9">
        <v>1710.5</v>
      </c>
      <c r="AF9">
        <v>1595</v>
      </c>
      <c r="AG9">
        <v>1288</v>
      </c>
      <c r="AH9" s="6">
        <f t="shared" si="2"/>
        <v>178.18790535855501</v>
      </c>
      <c r="AI9" s="6">
        <f t="shared" si="2"/>
        <v>153.90991784182236</v>
      </c>
      <c r="AJ9" s="6">
        <f t="shared" si="2"/>
        <v>140.47251478973013</v>
      </c>
      <c r="AK9" s="6">
        <f t="shared" si="2"/>
        <v>120.37622907315854</v>
      </c>
      <c r="AL9" s="6">
        <f t="shared" si="2"/>
        <v>103.31615052140356</v>
      </c>
      <c r="AM9" s="6">
        <f t="shared" si="2"/>
        <v>87.347977591022556</v>
      </c>
      <c r="AN9" s="6">
        <f t="shared" si="2"/>
        <v>77.315370831951185</v>
      </c>
      <c r="AO9" s="6">
        <f t="shared" si="2"/>
        <v>57.474271038045202</v>
      </c>
      <c r="AP9" s="6">
        <v>25.2</v>
      </c>
      <c r="AQ9" s="6">
        <v>994</v>
      </c>
      <c r="AR9" s="6">
        <v>54</v>
      </c>
      <c r="AS9" s="9">
        <v>1.1859999999999999</v>
      </c>
      <c r="AT9" s="8">
        <v>31.32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61" hidden="1">
      <c r="A10" t="s">
        <v>39</v>
      </c>
      <c r="B10" s="5">
        <v>44235</v>
      </c>
      <c r="C10" s="3">
        <v>86.5</v>
      </c>
      <c r="D10" s="4">
        <v>104</v>
      </c>
      <c r="E10" s="4">
        <v>2009</v>
      </c>
      <c r="F10" s="6">
        <f>PowerProfiling[[#This Row],[IL Peak Power (W)]]/PowerProfiling[[#This Row],[Rider Weight]]</f>
        <v>23.22543352601156</v>
      </c>
      <c r="G10" s="7">
        <f>PowerProfiling[[#This Row],[IL Max Cadence (RPM)]]*0.5</f>
        <v>134.5</v>
      </c>
      <c r="H10" s="7">
        <v>281</v>
      </c>
      <c r="I10">
        <v>269</v>
      </c>
      <c r="K10">
        <v>2093</v>
      </c>
      <c r="L10" s="6">
        <f>PowerProfiling[[#This Row],[S500Peak Power]]/PowerProfiling[[#This Row],[Rider Weight]]</f>
        <v>24.196531791907514</v>
      </c>
      <c r="M10" s="6"/>
      <c r="N10">
        <v>1805</v>
      </c>
      <c r="O10">
        <v>1473</v>
      </c>
      <c r="Q10" s="7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9"/>
      <c r="AT10" s="8"/>
      <c r="AU10" s="7">
        <v>2093</v>
      </c>
      <c r="AV10" s="7">
        <v>1273</v>
      </c>
      <c r="AW10" s="7">
        <v>882</v>
      </c>
      <c r="AX10" s="7">
        <v>46</v>
      </c>
      <c r="AY10" s="7">
        <v>1936</v>
      </c>
      <c r="AZ10" s="7">
        <v>1172</v>
      </c>
      <c r="BA10" s="7">
        <v>735</v>
      </c>
      <c r="BB10" s="7">
        <v>52</v>
      </c>
      <c r="BC10" s="7">
        <v>1827</v>
      </c>
      <c r="BD10" s="7">
        <v>1054</v>
      </c>
      <c r="BE10" s="7">
        <v>630</v>
      </c>
      <c r="BF10" s="7">
        <v>57</v>
      </c>
      <c r="BG10" s="6">
        <f>((AU10-BC10)/AU10)*100</f>
        <v>12.709030100334449</v>
      </c>
      <c r="BH10" s="6">
        <f>((AV10-BD10)/AV10)*100</f>
        <v>17.203456402199528</v>
      </c>
      <c r="BI10" s="6"/>
    </row>
    <row r="11" spans="1:61" hidden="1">
      <c r="A11" t="s">
        <v>39</v>
      </c>
      <c r="B11" s="5">
        <v>44204</v>
      </c>
      <c r="C11" s="6">
        <v>86.3</v>
      </c>
      <c r="D11" s="7">
        <v>104</v>
      </c>
      <c r="E11" s="7">
        <v>1994</v>
      </c>
      <c r="F11" s="6">
        <f>PowerProfiling[[#This Row],[IL Peak Power (W)]]/PowerProfiling[[#This Row],[Rider Weight]]</f>
        <v>23.105446118192354</v>
      </c>
      <c r="G11" s="7">
        <f>PowerProfiling[[#This Row],[IL Max Cadence (RPM)]]*0.5</f>
        <v>137.5</v>
      </c>
      <c r="H11" s="7">
        <v>271</v>
      </c>
      <c r="I11">
        <v>275</v>
      </c>
      <c r="K11">
        <v>2081</v>
      </c>
      <c r="L11" s="6">
        <f>PowerProfiling[[#This Row],[S500Peak Power]]/PowerProfiling[[#This Row],[Rider Weight]]</f>
        <v>24.113557358053303</v>
      </c>
      <c r="M11" s="6"/>
      <c r="N11">
        <v>1763</v>
      </c>
      <c r="O11">
        <v>1437</v>
      </c>
      <c r="Q11" s="7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9"/>
      <c r="AT11" s="8"/>
      <c r="AU11">
        <v>2081</v>
      </c>
      <c r="AV11">
        <v>1230</v>
      </c>
      <c r="AW11">
        <v>851</v>
      </c>
      <c r="AX11">
        <v>46</v>
      </c>
      <c r="AY11">
        <v>1954</v>
      </c>
      <c r="AZ11">
        <v>1095</v>
      </c>
      <c r="BA11">
        <v>636</v>
      </c>
      <c r="BB11">
        <v>58</v>
      </c>
      <c r="BC11">
        <v>1809</v>
      </c>
      <c r="BD11">
        <v>1004</v>
      </c>
      <c r="BE11">
        <v>585</v>
      </c>
      <c r="BF11">
        <v>59</v>
      </c>
      <c r="BG11" s="6">
        <f>((AU11-BC11)/AU11)*100</f>
        <v>13.070639115809707</v>
      </c>
      <c r="BH11" s="6">
        <f>((AV11-BD11)/AV11)*100</f>
        <v>18.373983739837399</v>
      </c>
      <c r="BI11" s="6"/>
    </row>
    <row r="12" spans="1:61" hidden="1">
      <c r="A12" t="s">
        <v>39</v>
      </c>
      <c r="B12" s="5">
        <v>43739</v>
      </c>
      <c r="C12" s="3">
        <v>88.2</v>
      </c>
      <c r="D12" s="4">
        <v>104</v>
      </c>
      <c r="E12" s="4">
        <v>1993</v>
      </c>
      <c r="F12" s="6">
        <f>PowerProfiling[[#This Row],[IL Peak Power (W)]]/PowerProfiling[[#This Row],[Rider Weight]]</f>
        <v>22.596371882086167</v>
      </c>
      <c r="G12" s="7">
        <f>PowerProfiling[[#This Row],[IL Max Cadence (RPM)]]*0.5</f>
        <v>132</v>
      </c>
      <c r="H12" s="7">
        <v>287</v>
      </c>
      <c r="I12">
        <v>264</v>
      </c>
      <c r="J12" s="8">
        <v>31.37</v>
      </c>
      <c r="K12">
        <v>2171</v>
      </c>
      <c r="L12" s="6">
        <f>PowerProfiling[[#This Row],[S500Peak Power]]/PowerProfiling[[#This Row],[Rider Weight]]</f>
        <v>24.614512471655328</v>
      </c>
      <c r="M12" s="6">
        <v>72</v>
      </c>
      <c r="N12">
        <v>1865</v>
      </c>
      <c r="O12">
        <v>1510</v>
      </c>
      <c r="P12">
        <v>1260</v>
      </c>
      <c r="Q12" s="8"/>
      <c r="R12">
        <v>96</v>
      </c>
      <c r="S12">
        <v>123.5</v>
      </c>
      <c r="T12">
        <v>142</v>
      </c>
      <c r="U12">
        <v>156.5</v>
      </c>
      <c r="V12">
        <v>167.5</v>
      </c>
      <c r="W12">
        <v>176.5</v>
      </c>
      <c r="X12">
        <v>197</v>
      </c>
      <c r="Y12">
        <v>216</v>
      </c>
      <c r="Z12">
        <v>1835</v>
      </c>
      <c r="AA12">
        <v>1946.5</v>
      </c>
      <c r="AB12">
        <v>2112</v>
      </c>
      <c r="AC12">
        <v>1865</v>
      </c>
      <c r="AD12">
        <v>1888.5</v>
      </c>
      <c r="AE12">
        <v>1681</v>
      </c>
      <c r="AF12">
        <v>1535</v>
      </c>
      <c r="AG12">
        <v>1217.5</v>
      </c>
      <c r="AH12" s="6">
        <f t="shared" ref="AH12:AO12" si="3">Z12/(R12*(PI()/30))</f>
        <v>182.53082535851746</v>
      </c>
      <c r="AI12" s="6">
        <f t="shared" si="3"/>
        <v>150.50773930123447</v>
      </c>
      <c r="AJ12" s="6">
        <f t="shared" si="3"/>
        <v>142.02897456764069</v>
      </c>
      <c r="AK12" s="6">
        <f t="shared" si="3"/>
        <v>113.79832672193666</v>
      </c>
      <c r="AL12" s="6">
        <f t="shared" si="3"/>
        <v>107.66475583129947</v>
      </c>
      <c r="AM12" s="6">
        <f t="shared" si="3"/>
        <v>90.948258131719925</v>
      </c>
      <c r="AN12" s="6">
        <f t="shared" si="3"/>
        <v>74.406955628241434</v>
      </c>
      <c r="AO12" s="6">
        <f t="shared" si="3"/>
        <v>53.825317559550719</v>
      </c>
      <c r="AP12" s="6">
        <v>22.4</v>
      </c>
      <c r="AQ12" s="6">
        <v>1001.8</v>
      </c>
      <c r="AR12" s="6">
        <v>51.2</v>
      </c>
      <c r="AS12" s="9">
        <v>1.1859999999999999</v>
      </c>
      <c r="AT12" s="8">
        <v>31.3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61" hidden="1">
      <c r="A13" t="s">
        <v>39</v>
      </c>
      <c r="B13" s="5">
        <v>44036</v>
      </c>
      <c r="C13" s="6">
        <v>86.8</v>
      </c>
      <c r="D13" s="7">
        <v>104</v>
      </c>
      <c r="E13" s="7">
        <v>1983</v>
      </c>
      <c r="F13" s="6">
        <f>PowerProfiling[[#This Row],[IL Peak Power (W)]]/PowerProfiling[[#This Row],[Rider Weight]]</f>
        <v>22.845622119815669</v>
      </c>
      <c r="G13" s="7">
        <f>PowerProfiling[[#This Row],[IL Max Cadence (RPM)]]*0.5</f>
        <v>135</v>
      </c>
      <c r="H13" s="7">
        <v>277</v>
      </c>
      <c r="I13">
        <v>270</v>
      </c>
      <c r="K13">
        <v>1993</v>
      </c>
      <c r="L13" s="6">
        <f>PowerProfiling[[#This Row],[S500Peak Power]]/PowerProfiling[[#This Row],[Rider Weight]]</f>
        <v>22.960829493087559</v>
      </c>
      <c r="M13" s="6"/>
      <c r="N13">
        <v>1721</v>
      </c>
      <c r="O13">
        <v>1399</v>
      </c>
      <c r="Q13" s="7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9"/>
      <c r="AT13" s="8"/>
      <c r="AU13">
        <v>1993</v>
      </c>
      <c r="AV13">
        <v>1199</v>
      </c>
      <c r="AW13">
        <v>827</v>
      </c>
      <c r="AX13">
        <v>47</v>
      </c>
      <c r="AY13">
        <v>1928</v>
      </c>
      <c r="AZ13">
        <v>1097</v>
      </c>
      <c r="BA13">
        <v>668</v>
      </c>
      <c r="BB13">
        <v>56</v>
      </c>
      <c r="BC13">
        <v>1588</v>
      </c>
      <c r="BD13">
        <v>792</v>
      </c>
      <c r="BE13">
        <v>341</v>
      </c>
      <c r="BF13">
        <v>73</v>
      </c>
      <c r="BG13" s="6">
        <f>((AU13-BC13)/AU13)*100</f>
        <v>20.321123933768188</v>
      </c>
      <c r="BH13" s="6">
        <f>((AV13-BD13)/AV13)*100</f>
        <v>33.944954128440372</v>
      </c>
      <c r="BI13" s="6"/>
    </row>
    <row r="14" spans="1:61" hidden="1">
      <c r="A14" t="s">
        <v>39</v>
      </c>
      <c r="B14" s="5">
        <v>44348</v>
      </c>
      <c r="C14" s="3">
        <v>86.8</v>
      </c>
      <c r="D14" s="4"/>
      <c r="E14" s="4">
        <v>1981</v>
      </c>
      <c r="F14" s="6">
        <f>PowerProfiling[[#This Row],[IL Peak Power (W)]]/PowerProfiling[[#This Row],[Rider Weight]]</f>
        <v>22.822580645161292</v>
      </c>
      <c r="G14" s="7">
        <v>128.5</v>
      </c>
      <c r="H14" s="7">
        <v>295</v>
      </c>
      <c r="I14" s="7">
        <v>254</v>
      </c>
      <c r="L14" s="6"/>
      <c r="M14" s="6"/>
      <c r="Q14" s="7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9"/>
      <c r="AT14" s="8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61" hidden="1">
      <c r="A15" t="s">
        <v>39</v>
      </c>
      <c r="B15" s="5">
        <v>43472</v>
      </c>
      <c r="C15" s="3">
        <v>86.8</v>
      </c>
      <c r="D15" s="4">
        <v>104</v>
      </c>
      <c r="E15" s="4">
        <v>1979</v>
      </c>
      <c r="F15" s="6">
        <f>PowerProfiling[[#This Row],[IL Peak Power (W)]]/PowerProfiling[[#This Row],[Rider Weight]]</f>
        <v>22.799539170506915</v>
      </c>
      <c r="G15" s="7">
        <f>PowerProfiling[[#This Row],[IL Max Cadence (RPM)]]*0.5</f>
        <v>134</v>
      </c>
      <c r="H15" s="7">
        <v>275</v>
      </c>
      <c r="I15">
        <v>268</v>
      </c>
      <c r="J15">
        <v>30.71</v>
      </c>
      <c r="K15">
        <v>2178</v>
      </c>
      <c r="L15" s="6">
        <f>PowerProfiling[[#This Row],[S500Peak Power]]/PowerProfiling[[#This Row],[Rider Weight]]</f>
        <v>25.092165898617512</v>
      </c>
      <c r="M15" s="6">
        <v>83</v>
      </c>
      <c r="N15">
        <v>1882</v>
      </c>
      <c r="O15">
        <v>1524</v>
      </c>
      <c r="P15">
        <v>1272</v>
      </c>
      <c r="Q15" s="8">
        <f>((PowerProfiling[[#This Row],[S500Peak Power]]-PowerProfiling[[#This Row],[30s MMP]])/PowerProfiling[[#This Row],[S500Peak Power]])*100</f>
        <v>41.59779614325069</v>
      </c>
      <c r="R15">
        <v>95.5</v>
      </c>
      <c r="S15">
        <v>122.5</v>
      </c>
      <c r="T15">
        <v>141</v>
      </c>
      <c r="U15">
        <v>156</v>
      </c>
      <c r="V15">
        <v>167</v>
      </c>
      <c r="W15">
        <v>185</v>
      </c>
      <c r="X15">
        <v>199</v>
      </c>
      <c r="Y15">
        <v>212.5</v>
      </c>
      <c r="Z15">
        <v>1710</v>
      </c>
      <c r="AA15">
        <v>1973.5</v>
      </c>
      <c r="AB15">
        <v>2024</v>
      </c>
      <c r="AC15">
        <v>1965.5</v>
      </c>
      <c r="AD15">
        <v>1877</v>
      </c>
      <c r="AE15">
        <v>1696.5</v>
      </c>
      <c r="AF15">
        <v>1505.5</v>
      </c>
      <c r="AG15">
        <v>1246</v>
      </c>
      <c r="AH15" s="6">
        <f t="shared" ref="AH15:AH27" si="4">Z15/(R15*(PI()/30))</f>
        <v>170.98740482961742</v>
      </c>
      <c r="AI15" s="6">
        <f t="shared" ref="AI15:AI27" si="5">AA15/(S15*(PI()/30))</f>
        <v>153.8411168286639</v>
      </c>
      <c r="AJ15" s="6">
        <f t="shared" ref="AJ15:AJ27" si="6">AB15/(T15*(PI()/30))</f>
        <v>137.07642758212603</v>
      </c>
      <c r="AK15" s="6">
        <f t="shared" ref="AK15:AK27" si="7">AC15/(U15*(PI()/30))</f>
        <v>120.31501563350781</v>
      </c>
      <c r="AL15" s="6">
        <f t="shared" ref="AL15:AL27" si="8">AD15/(V15*(PI()/30))</f>
        <v>107.32951910783984</v>
      </c>
      <c r="AM15" s="6">
        <f t="shared" ref="AM15:AM27" si="9">AE15/(W15*(PI()/30))</f>
        <v>87.569630580129882</v>
      </c>
      <c r="AN15" s="6">
        <f t="shared" ref="AN15:AN27" si="10">AF15/(X15*(PI()/30))</f>
        <v>72.243547786386458</v>
      </c>
      <c r="AO15" s="6">
        <f t="shared" ref="AO15:AO27" si="11">AG15/(Y15*(PI()/30))</f>
        <v>55.992581390823986</v>
      </c>
      <c r="AP15" s="6">
        <v>27</v>
      </c>
      <c r="AQ15" s="6">
        <v>1011</v>
      </c>
      <c r="AR15" s="6">
        <v>57</v>
      </c>
      <c r="AS15" s="9">
        <v>1.165</v>
      </c>
      <c r="AT15" s="8">
        <v>30.75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61" hidden="1">
      <c r="A16" t="s">
        <v>39</v>
      </c>
      <c r="B16" s="5">
        <v>43563</v>
      </c>
      <c r="C16" s="3">
        <v>87.1</v>
      </c>
      <c r="D16" s="4">
        <v>104</v>
      </c>
      <c r="E16" s="4">
        <v>1976</v>
      </c>
      <c r="F16" s="6">
        <f>PowerProfiling[[#This Row],[IL Peak Power (W)]]/PowerProfiling[[#This Row],[Rider Weight]]</f>
        <v>22.686567164179106</v>
      </c>
      <c r="G16" s="7">
        <f>PowerProfiling[[#This Row],[IL Max Cadence (RPM)]]*0.5</f>
        <v>134.5</v>
      </c>
      <c r="H16" s="7">
        <v>271</v>
      </c>
      <c r="I16">
        <v>269</v>
      </c>
      <c r="J16" s="8">
        <v>30.95</v>
      </c>
      <c r="K16">
        <v>2192</v>
      </c>
      <c r="L16" s="6">
        <f>PowerProfiling[[#This Row],[S500Peak Power]]/PowerProfiling[[#This Row],[Rider Weight]]</f>
        <v>25.166475315729048</v>
      </c>
      <c r="M16" s="6">
        <v>72</v>
      </c>
      <c r="N16">
        <v>1901</v>
      </c>
      <c r="O16">
        <v>1544</v>
      </c>
      <c r="P16">
        <v>1288</v>
      </c>
      <c r="Q16" s="8">
        <f>((PowerProfiling[[#This Row],[S500Peak Power]]-PowerProfiling[[#This Row],[30s MMP]])/PowerProfiling[[#This Row],[S500Peak Power]])*100</f>
        <v>41.240875912408761</v>
      </c>
      <c r="R16">
        <v>96.5</v>
      </c>
      <c r="S16">
        <v>123</v>
      </c>
      <c r="T16">
        <v>142</v>
      </c>
      <c r="U16">
        <v>156</v>
      </c>
      <c r="V16">
        <v>177</v>
      </c>
      <c r="W16">
        <v>188.5</v>
      </c>
      <c r="X16">
        <v>198.5</v>
      </c>
      <c r="Y16">
        <v>214.5</v>
      </c>
      <c r="Z16">
        <v>1658.5</v>
      </c>
      <c r="AA16">
        <v>2046</v>
      </c>
      <c r="AB16">
        <v>1991</v>
      </c>
      <c r="AC16">
        <v>1981.5</v>
      </c>
      <c r="AD16">
        <v>1816</v>
      </c>
      <c r="AE16">
        <v>1666.5</v>
      </c>
      <c r="AF16">
        <v>1499</v>
      </c>
      <c r="AG16">
        <v>1243.5</v>
      </c>
      <c r="AH16" s="6">
        <f t="shared" si="4"/>
        <v>164.11925789714513</v>
      </c>
      <c r="AI16" s="6">
        <f t="shared" si="5"/>
        <v>158.84439686147212</v>
      </c>
      <c r="AJ16" s="6">
        <f t="shared" si="6"/>
        <v>133.89189789970294</v>
      </c>
      <c r="AK16" s="6">
        <f t="shared" si="7"/>
        <v>121.29443066791947</v>
      </c>
      <c r="AL16" s="6">
        <f t="shared" si="8"/>
        <v>97.974703950807452</v>
      </c>
      <c r="AM16" s="6">
        <f t="shared" si="9"/>
        <v>84.423887319674364</v>
      </c>
      <c r="AN16" s="6">
        <f t="shared" si="10"/>
        <v>72.112824089093536</v>
      </c>
      <c r="AO16" s="6">
        <f t="shared" si="11"/>
        <v>55.359208876859263</v>
      </c>
      <c r="AP16" s="6">
        <v>25.3</v>
      </c>
      <c r="AQ16" s="6">
        <v>1008</v>
      </c>
      <c r="AR16" s="6">
        <v>42</v>
      </c>
      <c r="AS16" s="9">
        <v>1.171</v>
      </c>
      <c r="AT16" s="8">
        <v>30.93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idden="1">
      <c r="A17" t="s">
        <v>166</v>
      </c>
      <c r="B17" s="5">
        <v>43655</v>
      </c>
      <c r="C17" s="6">
        <v>93.4</v>
      </c>
      <c r="D17" s="7">
        <v>104</v>
      </c>
      <c r="E17" s="7">
        <v>1974</v>
      </c>
      <c r="F17" s="6">
        <f>PowerProfiling[[#This Row],[IL Peak Power (W)]]/PowerProfiling[[#This Row],[Rider Weight]]</f>
        <v>21.134903640256958</v>
      </c>
      <c r="G17" s="7">
        <f>PowerProfiling[[#This Row],[IL Max Cadence (RPM)]]*0.5</f>
        <v>134.5</v>
      </c>
      <c r="H17" s="7">
        <v>295</v>
      </c>
      <c r="I17">
        <v>269</v>
      </c>
      <c r="J17" s="8">
        <v>32.97</v>
      </c>
      <c r="K17" s="7">
        <v>1867.748779296875</v>
      </c>
      <c r="L17" s="6">
        <f>PowerProfiling[[#This Row],[S500Peak Power]]/PowerProfiling[[#This Row],[Rider Weight]]</f>
        <v>19.997310270844483</v>
      </c>
      <c r="M17" s="6">
        <v>63</v>
      </c>
      <c r="N17">
        <v>1636</v>
      </c>
      <c r="O17">
        <v>1350</v>
      </c>
      <c r="P17">
        <v>1142</v>
      </c>
      <c r="Q17" s="8"/>
      <c r="R17">
        <v>69</v>
      </c>
      <c r="S17">
        <v>123</v>
      </c>
      <c r="T17">
        <v>141</v>
      </c>
      <c r="U17">
        <v>155</v>
      </c>
      <c r="V17">
        <v>166.5</v>
      </c>
      <c r="W17">
        <v>175.5</v>
      </c>
      <c r="X17">
        <v>191</v>
      </c>
      <c r="Y17">
        <v>210.5</v>
      </c>
      <c r="Z17">
        <v>1625</v>
      </c>
      <c r="AA17">
        <v>1931.5</v>
      </c>
      <c r="AB17">
        <v>1955</v>
      </c>
      <c r="AC17">
        <v>1888</v>
      </c>
      <c r="AD17">
        <v>1845.5</v>
      </c>
      <c r="AE17">
        <v>1761.5</v>
      </c>
      <c r="AF17">
        <v>1620</v>
      </c>
      <c r="AG17">
        <v>1413.5</v>
      </c>
      <c r="AH17" s="6">
        <f t="shared" si="4"/>
        <v>224.89285436898254</v>
      </c>
      <c r="AI17" s="6">
        <f t="shared" si="5"/>
        <v>149.95501101560774</v>
      </c>
      <c r="AJ17" s="6">
        <f t="shared" si="6"/>
        <v>132.40336755091718</v>
      </c>
      <c r="AK17" s="6">
        <f t="shared" si="7"/>
        <v>116.31659324806391</v>
      </c>
      <c r="AL17" s="6">
        <f t="shared" si="8"/>
        <v>105.84520629769112</v>
      </c>
      <c r="AM17" s="6">
        <f t="shared" si="9"/>
        <v>95.846643506452523</v>
      </c>
      <c r="AN17" s="6">
        <f t="shared" si="10"/>
        <v>80.994033866660871</v>
      </c>
      <c r="AO17" s="6">
        <f t="shared" si="11"/>
        <v>64.123186335504244</v>
      </c>
      <c r="AP17" s="6">
        <v>22.7</v>
      </c>
      <c r="AQ17" s="6">
        <v>1006</v>
      </c>
      <c r="AR17" s="6">
        <v>46</v>
      </c>
      <c r="AS17" s="9">
        <v>1.179</v>
      </c>
      <c r="AT17" s="8">
        <v>32.869999999999997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idden="1">
      <c r="A18" t="s">
        <v>166</v>
      </c>
      <c r="B18" s="5">
        <v>43430</v>
      </c>
      <c r="C18" s="6">
        <v>92.6</v>
      </c>
      <c r="D18" s="7">
        <v>104</v>
      </c>
      <c r="E18" s="7">
        <v>1972.9355999999998</v>
      </c>
      <c r="F18" s="6">
        <f>PowerProfiling[[#This Row],[IL Peak Power (W)]]/PowerProfiling[[#This Row],[Rider Weight]]</f>
        <v>21.305999999999997</v>
      </c>
      <c r="G18" s="7">
        <f>PowerProfiling[[#This Row],[IL Max Cadence (RPM)]]*0.5</f>
        <v>134</v>
      </c>
      <c r="H18" s="7">
        <v>280.44134808939862</v>
      </c>
      <c r="I18">
        <v>268</v>
      </c>
      <c r="J18">
        <v>32.28</v>
      </c>
      <c r="K18">
        <v>2064</v>
      </c>
      <c r="L18" s="6">
        <f>PowerProfiling[[#This Row],[S500Peak Power]]/PowerProfiling[[#This Row],[Rider Weight]]</f>
        <v>22.289416846652269</v>
      </c>
      <c r="M18" s="6">
        <v>78</v>
      </c>
      <c r="N18">
        <v>1760</v>
      </c>
      <c r="O18">
        <v>1456</v>
      </c>
      <c r="P18">
        <v>1239</v>
      </c>
      <c r="Q18" s="8">
        <f>((PowerProfiling[[#This Row],[S500Peak Power]]-PowerProfiling[[#This Row],[30s MMP]])/PowerProfiling[[#This Row],[S500Peak Power]])*100</f>
        <v>39.970930232558139</v>
      </c>
      <c r="R18">
        <v>81.5</v>
      </c>
      <c r="S18">
        <v>110</v>
      </c>
      <c r="T18">
        <v>132</v>
      </c>
      <c r="U18">
        <v>154</v>
      </c>
      <c r="V18">
        <v>174.5</v>
      </c>
      <c r="W18">
        <v>195.5</v>
      </c>
      <c r="X18">
        <v>204.5</v>
      </c>
      <c r="Y18">
        <v>213.5</v>
      </c>
      <c r="Z18">
        <v>1672.5</v>
      </c>
      <c r="AA18">
        <v>1886</v>
      </c>
      <c r="AB18">
        <v>1975</v>
      </c>
      <c r="AC18">
        <v>1978</v>
      </c>
      <c r="AD18">
        <v>1774</v>
      </c>
      <c r="AE18">
        <v>1536</v>
      </c>
      <c r="AF18">
        <v>1436</v>
      </c>
      <c r="AG18">
        <v>1304</v>
      </c>
      <c r="AH18" s="6">
        <f t="shared" si="4"/>
        <v>195.96562624873249</v>
      </c>
      <c r="AI18" s="6">
        <f t="shared" si="5"/>
        <v>163.72703054798978</v>
      </c>
      <c r="AJ18" s="6">
        <f t="shared" si="6"/>
        <v>142.87773300295149</v>
      </c>
      <c r="AK18" s="6">
        <f t="shared" si="7"/>
        <v>122.65265354640351</v>
      </c>
      <c r="AL18" s="6">
        <f t="shared" si="8"/>
        <v>97.079954972500516</v>
      </c>
      <c r="AM18" s="6">
        <f t="shared" si="9"/>
        <v>75.026698492834143</v>
      </c>
      <c r="AN18" s="6">
        <f t="shared" si="10"/>
        <v>67.055207319304174</v>
      </c>
      <c r="AO18" s="6">
        <f t="shared" si="11"/>
        <v>58.324509356018233</v>
      </c>
      <c r="AP18" s="6">
        <v>25.2</v>
      </c>
      <c r="AQ18" s="6">
        <v>994</v>
      </c>
      <c r="AR18" s="6">
        <v>54</v>
      </c>
      <c r="AS18" s="9">
        <v>1.1859999999999999</v>
      </c>
      <c r="AT18" s="8">
        <v>32.42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idden="1">
      <c r="A19" t="s">
        <v>166</v>
      </c>
      <c r="B19" s="5">
        <v>43690</v>
      </c>
      <c r="C19" s="3">
        <v>93.4</v>
      </c>
      <c r="D19" s="7">
        <v>104</v>
      </c>
      <c r="E19" s="4">
        <v>1950</v>
      </c>
      <c r="F19" s="6">
        <f>PowerProfiling[[#This Row],[IL Peak Power (W)]]/PowerProfiling[[#This Row],[Rider Weight]]</f>
        <v>20.877944325481799</v>
      </c>
      <c r="G19" s="7">
        <f>PowerProfiling[[#This Row],[IL Max Cadence (RPM)]]*0.5</f>
        <v>135.5</v>
      </c>
      <c r="H19" s="7">
        <v>272</v>
      </c>
      <c r="I19">
        <v>271</v>
      </c>
      <c r="J19">
        <v>32.590000000000003</v>
      </c>
      <c r="K19">
        <v>1879</v>
      </c>
      <c r="L19" s="6">
        <f>PowerProfiling[[#This Row],[S500Peak Power]]/PowerProfiling[[#This Row],[Rider Weight]]</f>
        <v>20.117773019271947</v>
      </c>
      <c r="M19" s="6">
        <v>78</v>
      </c>
      <c r="N19">
        <v>1609</v>
      </c>
      <c r="O19">
        <v>1339</v>
      </c>
      <c r="P19">
        <v>1133</v>
      </c>
      <c r="Q19" s="8"/>
      <c r="R19">
        <v>94.5</v>
      </c>
      <c r="S19">
        <v>122.5</v>
      </c>
      <c r="T19">
        <v>141</v>
      </c>
      <c r="U19">
        <v>155</v>
      </c>
      <c r="V19">
        <v>171</v>
      </c>
      <c r="W19">
        <v>191</v>
      </c>
      <c r="X19">
        <v>205.5</v>
      </c>
      <c r="Y19">
        <v>217.5</v>
      </c>
      <c r="Z19">
        <v>1724.5</v>
      </c>
      <c r="AA19">
        <v>1944</v>
      </c>
      <c r="AB19">
        <v>1993</v>
      </c>
      <c r="AC19">
        <v>1893.5</v>
      </c>
      <c r="AD19">
        <v>1803</v>
      </c>
      <c r="AE19">
        <v>1636</v>
      </c>
      <c r="AF19">
        <v>1452.5</v>
      </c>
      <c r="AG19">
        <v>1208</v>
      </c>
      <c r="AH19" s="6">
        <f t="shared" si="4"/>
        <v>174.26203134093558</v>
      </c>
      <c r="AI19" s="6">
        <f t="shared" si="5"/>
        <v>151.54149030398918</v>
      </c>
      <c r="AJ19" s="6">
        <f t="shared" si="6"/>
        <v>134.97693684346697</v>
      </c>
      <c r="AK19" s="6">
        <f t="shared" si="7"/>
        <v>116.65543925593697</v>
      </c>
      <c r="AL19" s="6">
        <f t="shared" si="8"/>
        <v>100.68644294550433</v>
      </c>
      <c r="AM19" s="6">
        <f t="shared" si="9"/>
        <v>81.793974941887157</v>
      </c>
      <c r="AN19" s="6">
        <f t="shared" si="10"/>
        <v>67.495636449920582</v>
      </c>
      <c r="AO19" s="6">
        <f t="shared" si="11"/>
        <v>53.037012760002646</v>
      </c>
      <c r="AP19" s="6">
        <v>22.6</v>
      </c>
      <c r="AQ19" s="6">
        <v>997</v>
      </c>
      <c r="AR19" s="6">
        <v>48</v>
      </c>
      <c r="AS19" s="9">
        <v>1.169</v>
      </c>
      <c r="AT19" s="8">
        <v>32.590000000000003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>
      <c r="A20" t="s">
        <v>55</v>
      </c>
      <c r="B20" s="5">
        <v>43453</v>
      </c>
      <c r="C20" s="3">
        <v>88.9</v>
      </c>
      <c r="D20" s="4">
        <v>104</v>
      </c>
      <c r="E20" s="4">
        <v>1803</v>
      </c>
      <c r="F20" s="6">
        <f>PowerProfiling[[#This Row],[IL Peak Power (W)]]/PowerProfiling[[#This Row],[Rider Weight]]</f>
        <v>20.281214848143982</v>
      </c>
      <c r="G20" s="7">
        <f>PowerProfiling[[#This Row],[IL Max Cadence (RPM)]]*0.5</f>
        <v>135</v>
      </c>
      <c r="H20" s="7">
        <v>240</v>
      </c>
      <c r="I20">
        <v>270</v>
      </c>
      <c r="J20">
        <v>32.04</v>
      </c>
      <c r="K20">
        <v>1935</v>
      </c>
      <c r="L20" s="6">
        <f>PowerProfiling[[#This Row],[S500Peak Power]]/PowerProfiling[[#This Row],[Rider Weight]]</f>
        <v>21.766029246344207</v>
      </c>
      <c r="M20" s="6">
        <v>74</v>
      </c>
      <c r="N20">
        <v>1720</v>
      </c>
      <c r="O20">
        <v>1426</v>
      </c>
      <c r="P20">
        <v>1218</v>
      </c>
      <c r="Q20" s="8">
        <f>((PowerProfiling[[#This Row],[S500Peak Power]]-PowerProfiling[[#This Row],[30s MMP]])/PowerProfiling[[#This Row],[S500Peak Power]])*100</f>
        <v>37.054263565891468</v>
      </c>
      <c r="R20">
        <v>87</v>
      </c>
      <c r="S20">
        <v>114.5</v>
      </c>
      <c r="T20">
        <v>133.5</v>
      </c>
      <c r="U20">
        <v>148.5</v>
      </c>
      <c r="V20">
        <v>160.5</v>
      </c>
      <c r="W20">
        <v>170.5</v>
      </c>
      <c r="X20">
        <v>197</v>
      </c>
      <c r="Y20">
        <v>212</v>
      </c>
      <c r="Z20">
        <v>1393</v>
      </c>
      <c r="AA20">
        <v>1757</v>
      </c>
      <c r="AB20">
        <v>1807</v>
      </c>
      <c r="AC20">
        <v>1902</v>
      </c>
      <c r="AD20">
        <v>1787.5</v>
      </c>
      <c r="AE20">
        <v>1753.5</v>
      </c>
      <c r="AF20">
        <v>1423</v>
      </c>
      <c r="AG20">
        <v>1116.5</v>
      </c>
      <c r="AH20" s="6">
        <f t="shared" si="4"/>
        <v>152.89850739793809</v>
      </c>
      <c r="AI20" s="6">
        <f t="shared" si="5"/>
        <v>146.53374760478258</v>
      </c>
      <c r="AJ20" s="6">
        <f t="shared" si="6"/>
        <v>129.25527288406963</v>
      </c>
      <c r="AK20" s="6">
        <f t="shared" si="7"/>
        <v>122.30816232758988</v>
      </c>
      <c r="AL20" s="6">
        <f t="shared" si="8"/>
        <v>106.35120029037867</v>
      </c>
      <c r="AM20" s="6">
        <f t="shared" si="9"/>
        <v>98.209334678582465</v>
      </c>
      <c r="AN20" s="6">
        <f t="shared" si="10"/>
        <v>68.977913914649875</v>
      </c>
      <c r="AO20" s="6">
        <f t="shared" si="11"/>
        <v>50.291460555311652</v>
      </c>
      <c r="AP20" s="6">
        <v>28.2</v>
      </c>
      <c r="AQ20" s="6">
        <v>1001</v>
      </c>
      <c r="AR20" s="6">
        <v>52</v>
      </c>
      <c r="AS20" s="9">
        <v>1.149</v>
      </c>
      <c r="AT20" s="8">
        <v>32.22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idden="1">
      <c r="A21" t="s">
        <v>165</v>
      </c>
      <c r="B21" s="5">
        <v>43655</v>
      </c>
      <c r="C21" s="3">
        <v>101.5</v>
      </c>
      <c r="D21" s="4">
        <v>104</v>
      </c>
      <c r="E21" s="4">
        <v>1944</v>
      </c>
      <c r="F21" s="6">
        <f>PowerProfiling[[#This Row],[IL Peak Power (W)]]/PowerProfiling[[#This Row],[Rider Weight]]</f>
        <v>19.152709359605911</v>
      </c>
      <c r="G21" s="7">
        <f>PowerProfiling[[#This Row],[IL Max Cadence (RPM)]]*0.5</f>
        <v>124</v>
      </c>
      <c r="H21" s="7">
        <v>286</v>
      </c>
      <c r="I21">
        <v>248</v>
      </c>
      <c r="J21" s="8">
        <v>32.5</v>
      </c>
      <c r="K21" s="7">
        <v>2093.85693359375</v>
      </c>
      <c r="L21" s="6">
        <f>PowerProfiling[[#This Row],[S500Peak Power]]/PowerProfiling[[#This Row],[Rider Weight]]</f>
        <v>20.629132350677342</v>
      </c>
      <c r="M21" s="6">
        <v>67</v>
      </c>
      <c r="N21">
        <v>1848</v>
      </c>
      <c r="O21">
        <v>1537</v>
      </c>
      <c r="P21">
        <v>1331</v>
      </c>
      <c r="Q21" s="8"/>
      <c r="R21">
        <v>91</v>
      </c>
      <c r="S21">
        <v>120</v>
      </c>
      <c r="T21">
        <v>139.5</v>
      </c>
      <c r="U21">
        <v>154</v>
      </c>
      <c r="V21">
        <v>169.5</v>
      </c>
      <c r="W21">
        <v>179.5</v>
      </c>
      <c r="X21">
        <v>189</v>
      </c>
      <c r="Y21">
        <v>205</v>
      </c>
      <c r="Z21">
        <v>1623.5</v>
      </c>
      <c r="AA21">
        <v>1971.5</v>
      </c>
      <c r="AB21">
        <v>2059</v>
      </c>
      <c r="AC21">
        <v>1919.5</v>
      </c>
      <c r="AD21">
        <v>1678</v>
      </c>
      <c r="AE21">
        <v>1516</v>
      </c>
      <c r="AF21">
        <v>1343.5</v>
      </c>
      <c r="AG21">
        <v>1120.5</v>
      </c>
      <c r="AH21" s="6">
        <f t="shared" si="4"/>
        <v>170.36574732507174</v>
      </c>
      <c r="AI21" s="6">
        <f t="shared" si="5"/>
        <v>156.88698515283582</v>
      </c>
      <c r="AJ21" s="6">
        <f t="shared" si="6"/>
        <v>140.94624852740324</v>
      </c>
      <c r="AK21" s="6">
        <f t="shared" si="7"/>
        <v>119.02516101229602</v>
      </c>
      <c r="AL21" s="6">
        <f t="shared" si="8"/>
        <v>94.535219294938187</v>
      </c>
      <c r="AM21" s="6">
        <f t="shared" si="9"/>
        <v>80.650326594088028</v>
      </c>
      <c r="AN21" s="6">
        <f t="shared" si="10"/>
        <v>67.880846363162348</v>
      </c>
      <c r="AO21" s="6">
        <f t="shared" si="11"/>
        <v>52.19505767838109</v>
      </c>
      <c r="AP21" s="6">
        <v>22.7</v>
      </c>
      <c r="AQ21" s="6">
        <v>1006</v>
      </c>
      <c r="AR21" s="6">
        <v>46</v>
      </c>
      <c r="AS21" s="9">
        <v>1.179</v>
      </c>
      <c r="AT21" s="8">
        <v>32.4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idden="1">
      <c r="A22" t="s">
        <v>166</v>
      </c>
      <c r="B22" s="5">
        <v>43739</v>
      </c>
      <c r="C22" s="6">
        <v>94.5</v>
      </c>
      <c r="D22" s="7">
        <v>104</v>
      </c>
      <c r="E22" s="7">
        <v>1933</v>
      </c>
      <c r="F22" s="6">
        <f>PowerProfiling[[#This Row],[IL Peak Power (W)]]/PowerProfiling[[#This Row],[Rider Weight]]</f>
        <v>20.455026455026456</v>
      </c>
      <c r="G22" s="7">
        <f>PowerProfiling[[#This Row],[IL Max Cadence (RPM)]]*0.5</f>
        <v>137</v>
      </c>
      <c r="H22" s="7">
        <v>267</v>
      </c>
      <c r="I22">
        <v>274</v>
      </c>
      <c r="J22" s="8">
        <v>32.450000000000003</v>
      </c>
      <c r="K22">
        <v>1931</v>
      </c>
      <c r="L22" s="6">
        <f>PowerProfiling[[#This Row],[S500Peak Power]]/PowerProfiling[[#This Row],[Rider Weight]]</f>
        <v>20.433862433862434</v>
      </c>
      <c r="M22" s="6">
        <v>90</v>
      </c>
      <c r="N22">
        <v>1710</v>
      </c>
      <c r="O22">
        <v>1425</v>
      </c>
      <c r="P22">
        <v>1215</v>
      </c>
      <c r="Q22" s="8"/>
      <c r="R22">
        <v>96.5</v>
      </c>
      <c r="S22">
        <v>122.5</v>
      </c>
      <c r="T22">
        <v>140.5</v>
      </c>
      <c r="U22">
        <v>155</v>
      </c>
      <c r="V22">
        <v>166</v>
      </c>
      <c r="W22">
        <v>184.5</v>
      </c>
      <c r="X22">
        <v>203</v>
      </c>
      <c r="Y22">
        <v>215.5</v>
      </c>
      <c r="Z22">
        <v>1728.5</v>
      </c>
      <c r="AA22">
        <v>1909</v>
      </c>
      <c r="AB22">
        <v>1978</v>
      </c>
      <c r="AC22">
        <v>1904</v>
      </c>
      <c r="AD22">
        <v>1870.5</v>
      </c>
      <c r="AE22">
        <v>1650.5</v>
      </c>
      <c r="AF22">
        <v>1491</v>
      </c>
      <c r="AG22">
        <v>1312</v>
      </c>
      <c r="AH22" s="6">
        <f t="shared" si="4"/>
        <v>171.04620878819136</v>
      </c>
      <c r="AI22" s="6">
        <f t="shared" si="5"/>
        <v>148.81311985098526</v>
      </c>
      <c r="AJ22" s="6">
        <f t="shared" si="6"/>
        <v>134.4377839583355</v>
      </c>
      <c r="AK22" s="6">
        <f t="shared" si="7"/>
        <v>117.30232708914919</v>
      </c>
      <c r="AL22" s="6">
        <f t="shared" si="8"/>
        <v>107.60216423616515</v>
      </c>
      <c r="AM22" s="6">
        <f t="shared" si="9"/>
        <v>85.426092218918143</v>
      </c>
      <c r="AN22" s="6">
        <f t="shared" si="10"/>
        <v>70.137936990152497</v>
      </c>
      <c r="AO22" s="6">
        <f t="shared" si="11"/>
        <v>58.137712854728548</v>
      </c>
      <c r="AP22" s="6">
        <v>22.4</v>
      </c>
      <c r="AQ22" s="6">
        <v>1001.8</v>
      </c>
      <c r="AR22" s="6">
        <v>51.2</v>
      </c>
      <c r="AS22" s="9">
        <v>1.1859999999999999</v>
      </c>
      <c r="AT22" s="8">
        <v>32.380000000000003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idden="1">
      <c r="A23" t="s">
        <v>40</v>
      </c>
      <c r="B23" s="5">
        <v>43690</v>
      </c>
      <c r="C23" s="6">
        <v>86.3</v>
      </c>
      <c r="D23" s="7">
        <v>104</v>
      </c>
      <c r="E23" s="7">
        <v>1930</v>
      </c>
      <c r="F23" s="6">
        <f>PowerProfiling[[#This Row],[IL Peak Power (W)]]/PowerProfiling[[#This Row],[Rider Weight]]</f>
        <v>22.363847045191193</v>
      </c>
      <c r="G23" s="7">
        <f>PowerProfiling[[#This Row],[IL Max Cadence (RPM)]]*0.5</f>
        <v>136</v>
      </c>
      <c r="H23" s="7">
        <v>268</v>
      </c>
      <c r="I23">
        <v>272</v>
      </c>
      <c r="J23">
        <v>31.45</v>
      </c>
      <c r="K23">
        <v>1991</v>
      </c>
      <c r="L23" s="6">
        <f>PowerProfiling[[#This Row],[S500Peak Power]]/PowerProfiling[[#This Row],[Rider Weight]]</f>
        <v>23.070683661645425</v>
      </c>
      <c r="M23" s="6">
        <v>86</v>
      </c>
      <c r="N23">
        <v>1720</v>
      </c>
      <c r="O23">
        <v>1425</v>
      </c>
      <c r="P23">
        <v>1190</v>
      </c>
      <c r="Q23" s="8"/>
      <c r="R23">
        <v>96.5</v>
      </c>
      <c r="S23">
        <v>123.5</v>
      </c>
      <c r="T23">
        <v>141</v>
      </c>
      <c r="U23">
        <v>155</v>
      </c>
      <c r="V23">
        <v>166.5</v>
      </c>
      <c r="W23">
        <v>184</v>
      </c>
      <c r="X23">
        <v>197.5</v>
      </c>
      <c r="Y23">
        <v>212.5</v>
      </c>
      <c r="Z23">
        <v>1731</v>
      </c>
      <c r="AA23">
        <v>1896.5</v>
      </c>
      <c r="AB23">
        <v>1989.5</v>
      </c>
      <c r="AC23">
        <v>1858.5</v>
      </c>
      <c r="AD23">
        <v>1872.5</v>
      </c>
      <c r="AE23">
        <v>1715</v>
      </c>
      <c r="AF23">
        <v>1525</v>
      </c>
      <c r="AG23">
        <v>1313.5</v>
      </c>
      <c r="AH23" s="6">
        <f t="shared" si="4"/>
        <v>171.29359989144299</v>
      </c>
      <c r="AI23" s="6">
        <f t="shared" si="5"/>
        <v>146.64162732329368</v>
      </c>
      <c r="AJ23" s="6">
        <f t="shared" si="6"/>
        <v>134.73989756652162</v>
      </c>
      <c r="AK23" s="6">
        <f t="shared" si="7"/>
        <v>114.49914647856291</v>
      </c>
      <c r="AL23" s="6">
        <f t="shared" si="8"/>
        <v>107.39374087912579</v>
      </c>
      <c r="AM23" s="6">
        <f t="shared" si="9"/>
        <v>89.005671979108868</v>
      </c>
      <c r="AN23" s="6">
        <f t="shared" si="10"/>
        <v>73.735074900802147</v>
      </c>
      <c r="AO23" s="6">
        <f t="shared" si="11"/>
        <v>59.025887365045989</v>
      </c>
      <c r="AP23" s="6">
        <v>22.6</v>
      </c>
      <c r="AQ23" s="6">
        <v>997</v>
      </c>
      <c r="AR23" s="6">
        <v>48</v>
      </c>
      <c r="AS23" s="9">
        <v>1.169</v>
      </c>
      <c r="AT23" s="8">
        <v>31.45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>
      <c r="A24" t="s">
        <v>55</v>
      </c>
      <c r="B24" s="5">
        <v>43472</v>
      </c>
      <c r="C24" s="3">
        <v>88.5</v>
      </c>
      <c r="D24" s="4">
        <v>104</v>
      </c>
      <c r="E24" s="4">
        <v>1783</v>
      </c>
      <c r="F24" s="6">
        <f>PowerProfiling[[#This Row],[IL Peak Power (W)]]/PowerProfiling[[#This Row],[Rider Weight]]</f>
        <v>20.146892655367232</v>
      </c>
      <c r="G24" s="7">
        <f>PowerProfiling[[#This Row],[IL Max Cadence (RPM)]]*0.5</f>
        <v>131</v>
      </c>
      <c r="H24" s="7">
        <v>245</v>
      </c>
      <c r="I24">
        <v>262</v>
      </c>
      <c r="J24" s="8">
        <v>32.06</v>
      </c>
      <c r="K24">
        <v>1890</v>
      </c>
      <c r="L24" s="6">
        <f>PowerProfiling[[#This Row],[S500Peak Power]]/PowerProfiling[[#This Row],[Rider Weight]]</f>
        <v>21.35593220338983</v>
      </c>
      <c r="M24" s="6">
        <v>63</v>
      </c>
      <c r="N24">
        <v>1668</v>
      </c>
      <c r="O24">
        <v>1367</v>
      </c>
      <c r="P24">
        <v>1152</v>
      </c>
      <c r="Q24" s="8">
        <f>((PowerProfiling[[#This Row],[S500Peak Power]]-PowerProfiling[[#This Row],[30s MMP]])/PowerProfiling[[#This Row],[S500Peak Power]])*100</f>
        <v>39.047619047619051</v>
      </c>
      <c r="R24">
        <v>89</v>
      </c>
      <c r="S24">
        <v>116</v>
      </c>
      <c r="T24">
        <v>134.5</v>
      </c>
      <c r="U24">
        <v>149</v>
      </c>
      <c r="V24">
        <v>165</v>
      </c>
      <c r="W24">
        <v>182</v>
      </c>
      <c r="X24">
        <v>194</v>
      </c>
      <c r="Y24">
        <v>210</v>
      </c>
      <c r="Z24">
        <v>1414.5</v>
      </c>
      <c r="AA24">
        <v>1797</v>
      </c>
      <c r="AB24">
        <v>1791</v>
      </c>
      <c r="AC24">
        <v>1854.5</v>
      </c>
      <c r="AD24">
        <v>1715</v>
      </c>
      <c r="AE24">
        <v>1531</v>
      </c>
      <c r="AF24">
        <v>1399</v>
      </c>
      <c r="AG24">
        <v>1044</v>
      </c>
      <c r="AH24" s="6">
        <f t="shared" si="4"/>
        <v>151.76943842931638</v>
      </c>
      <c r="AI24" s="6">
        <f t="shared" si="5"/>
        <v>147.93177555317376</v>
      </c>
      <c r="AJ24" s="6">
        <f t="shared" si="6"/>
        <v>127.15829133572545</v>
      </c>
      <c r="AK24" s="6">
        <f t="shared" si="7"/>
        <v>118.85349340828991</v>
      </c>
      <c r="AL24" s="6">
        <f t="shared" si="8"/>
        <v>99.254809964582009</v>
      </c>
      <c r="AM24" s="6">
        <f t="shared" si="9"/>
        <v>80.329522375942346</v>
      </c>
      <c r="AN24" s="6">
        <f t="shared" si="10"/>
        <v>68.863226407905657</v>
      </c>
      <c r="AO24" s="6">
        <f t="shared" si="11"/>
        <v>47.473645882268208</v>
      </c>
      <c r="AP24" s="6">
        <v>27</v>
      </c>
      <c r="AQ24" s="6">
        <v>1011</v>
      </c>
      <c r="AR24" s="6">
        <v>57</v>
      </c>
      <c r="AS24" s="9">
        <v>1.165</v>
      </c>
      <c r="AT24" s="8">
        <v>32.1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>
      <c r="A25" t="s">
        <v>55</v>
      </c>
      <c r="B25" s="5">
        <v>43563</v>
      </c>
      <c r="C25" s="3">
        <v>92.3</v>
      </c>
      <c r="D25" s="4">
        <v>104</v>
      </c>
      <c r="E25" s="4">
        <v>1677</v>
      </c>
      <c r="F25" s="6">
        <f>PowerProfiling[[#This Row],[IL Peak Power (W)]]/PowerProfiling[[#This Row],[Rider Weight]]</f>
        <v>18.169014084507044</v>
      </c>
      <c r="G25" s="7">
        <f>PowerProfiling[[#This Row],[IL Max Cadence (RPM)]]*0.5</f>
        <v>124</v>
      </c>
      <c r="H25" s="7">
        <v>244</v>
      </c>
      <c r="I25">
        <v>248</v>
      </c>
      <c r="J25" s="8">
        <v>32.72</v>
      </c>
      <c r="K25">
        <v>1777</v>
      </c>
      <c r="L25" s="6">
        <f>PowerProfiling[[#This Row],[S500Peak Power]]/PowerProfiling[[#This Row],[Rider Weight]]</f>
        <v>19.252437703141929</v>
      </c>
      <c r="M25" s="6">
        <v>74</v>
      </c>
      <c r="N25">
        <v>1583</v>
      </c>
      <c r="O25">
        <v>1282</v>
      </c>
      <c r="P25">
        <v>1091</v>
      </c>
      <c r="Q25" s="8">
        <f>((PowerProfiling[[#This Row],[S500Peak Power]]-PowerProfiling[[#This Row],[30s MMP]])/PowerProfiling[[#This Row],[S500Peak Power]])*100</f>
        <v>38.604389420371412</v>
      </c>
      <c r="R25">
        <v>87</v>
      </c>
      <c r="S25">
        <v>113</v>
      </c>
      <c r="T25">
        <v>132</v>
      </c>
      <c r="U25">
        <v>146</v>
      </c>
      <c r="V25">
        <v>166</v>
      </c>
      <c r="W25">
        <v>181</v>
      </c>
      <c r="X25">
        <v>194</v>
      </c>
      <c r="Y25">
        <v>204</v>
      </c>
      <c r="Z25">
        <v>1358.5</v>
      </c>
      <c r="AA25">
        <v>1661</v>
      </c>
      <c r="AB25">
        <v>1693.5</v>
      </c>
      <c r="AC25">
        <v>1735.5</v>
      </c>
      <c r="AD25">
        <v>1546.5</v>
      </c>
      <c r="AE25">
        <v>1374.5</v>
      </c>
      <c r="AF25">
        <v>1144.5</v>
      </c>
      <c r="AG25">
        <v>860</v>
      </c>
      <c r="AH25" s="6">
        <f t="shared" si="4"/>
        <v>149.11171737264814</v>
      </c>
      <c r="AI25" s="6">
        <f t="shared" si="5"/>
        <v>140.36620910210877</v>
      </c>
      <c r="AJ25" s="6">
        <f t="shared" si="6"/>
        <v>122.51313460278398</v>
      </c>
      <c r="AK25" s="6">
        <f t="shared" si="7"/>
        <v>113.5123576997196</v>
      </c>
      <c r="AL25" s="6">
        <f t="shared" si="8"/>
        <v>88.963778129499815</v>
      </c>
      <c r="AM25" s="6">
        <f t="shared" si="9"/>
        <v>72.51661965076579</v>
      </c>
      <c r="AN25" s="6">
        <f t="shared" si="10"/>
        <v>56.335927536703373</v>
      </c>
      <c r="AO25" s="6">
        <f t="shared" si="11"/>
        <v>40.25683854677353</v>
      </c>
      <c r="AP25" s="6">
        <v>25.3</v>
      </c>
      <c r="AQ25" s="6">
        <v>1008</v>
      </c>
      <c r="AR25" s="6">
        <v>42</v>
      </c>
      <c r="AS25" s="9">
        <v>1.171</v>
      </c>
      <c r="AT25" s="8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>
      <c r="A26" t="s">
        <v>55</v>
      </c>
      <c r="B26" s="5">
        <v>43655</v>
      </c>
      <c r="C26" s="6">
        <v>95.1</v>
      </c>
      <c r="D26" s="7">
        <v>104</v>
      </c>
      <c r="E26" s="7">
        <v>1792</v>
      </c>
      <c r="F26" s="6">
        <f>PowerProfiling[[#This Row],[IL Peak Power (W)]]/PowerProfiling[[#This Row],[Rider Weight]]</f>
        <v>18.843322818086225</v>
      </c>
      <c r="G26" s="7">
        <f>PowerProfiling[[#This Row],[IL Max Cadence (RPM)]]*0.5</f>
        <v>130.5</v>
      </c>
      <c r="H26" s="7">
        <v>251</v>
      </c>
      <c r="I26">
        <v>261</v>
      </c>
      <c r="J26" s="8">
        <v>32.479999999999997</v>
      </c>
      <c r="K26" s="7">
        <v>1969.7528076171875</v>
      </c>
      <c r="L26" s="6">
        <f>PowerProfiling[[#This Row],[S500Peak Power]]/PowerProfiling[[#This Row],[Rider Weight]]</f>
        <v>20.712437514376315</v>
      </c>
      <c r="M26" s="6">
        <v>75</v>
      </c>
      <c r="N26">
        <v>1684</v>
      </c>
      <c r="O26">
        <v>1353</v>
      </c>
      <c r="P26">
        <v>1129</v>
      </c>
      <c r="Q26" s="8"/>
      <c r="R26">
        <v>88.5</v>
      </c>
      <c r="S26">
        <v>115.5</v>
      </c>
      <c r="T26">
        <v>135</v>
      </c>
      <c r="U26">
        <v>149</v>
      </c>
      <c r="V26">
        <v>160.5</v>
      </c>
      <c r="W26">
        <v>174</v>
      </c>
      <c r="X26">
        <v>195</v>
      </c>
      <c r="Y26">
        <v>209</v>
      </c>
      <c r="Z26">
        <v>1464.5</v>
      </c>
      <c r="AA26">
        <v>1774.5</v>
      </c>
      <c r="AB26">
        <v>1845</v>
      </c>
      <c r="AC26">
        <v>1854</v>
      </c>
      <c r="AD26">
        <v>1731.5</v>
      </c>
      <c r="AE26">
        <v>1569</v>
      </c>
      <c r="AF26">
        <v>1308.5</v>
      </c>
      <c r="AG26">
        <v>1133.5</v>
      </c>
      <c r="AH26" s="6">
        <f t="shared" si="4"/>
        <v>158.02197570039374</v>
      </c>
      <c r="AI26" s="6">
        <f t="shared" si="5"/>
        <v>146.71192026834717</v>
      </c>
      <c r="AJ26" s="6">
        <f t="shared" si="6"/>
        <v>130.50705333535419</v>
      </c>
      <c r="AK26" s="6">
        <f t="shared" si="7"/>
        <v>118.82144878887543</v>
      </c>
      <c r="AL26" s="6">
        <f t="shared" si="8"/>
        <v>103.0193584910717</v>
      </c>
      <c r="AM26" s="6">
        <f t="shared" si="9"/>
        <v>86.108312314201314</v>
      </c>
      <c r="AN26" s="6">
        <f t="shared" si="10"/>
        <v>64.078228626383094</v>
      </c>
      <c r="AO26" s="6">
        <f t="shared" si="11"/>
        <v>51.790084591769393</v>
      </c>
      <c r="AP26" s="6">
        <v>22.7</v>
      </c>
      <c r="AQ26" s="6">
        <v>1006</v>
      </c>
      <c r="AR26" s="6">
        <v>46</v>
      </c>
      <c r="AS26" s="9">
        <v>1.179</v>
      </c>
      <c r="AT26" s="8">
        <v>32.380000000000003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idden="1">
      <c r="A27" t="s">
        <v>166</v>
      </c>
      <c r="B27" s="5">
        <v>43563</v>
      </c>
      <c r="C27" s="3">
        <v>89.9</v>
      </c>
      <c r="D27" s="4">
        <v>104</v>
      </c>
      <c r="E27" s="4">
        <v>1890</v>
      </c>
      <c r="F27" s="6">
        <f>PowerProfiling[[#This Row],[IL Peak Power (W)]]/PowerProfiling[[#This Row],[Rider Weight]]</f>
        <v>21.023359288097886</v>
      </c>
      <c r="G27" s="7">
        <f>PowerProfiling[[#This Row],[IL Max Cadence (RPM)]]*0.5</f>
        <v>137</v>
      </c>
      <c r="H27" s="7">
        <v>260</v>
      </c>
      <c r="I27">
        <v>274</v>
      </c>
      <c r="J27" s="8">
        <v>31.99</v>
      </c>
      <c r="K27">
        <v>1869</v>
      </c>
      <c r="L27" s="6">
        <f>PowerProfiling[[#This Row],[S500Peak Power]]/PowerProfiling[[#This Row],[Rider Weight]]</f>
        <v>20.789766407119021</v>
      </c>
      <c r="M27" s="6">
        <v>78</v>
      </c>
      <c r="N27">
        <v>1627</v>
      </c>
      <c r="O27">
        <v>1351</v>
      </c>
      <c r="P27">
        <v>1157</v>
      </c>
      <c r="Q27" s="8">
        <f>((PowerProfiling[[#This Row],[S500Peak Power]]-PowerProfiling[[#This Row],[30s MMP]])/PowerProfiling[[#This Row],[S500Peak Power]])*100</f>
        <v>38.095238095238095</v>
      </c>
      <c r="R27">
        <v>63</v>
      </c>
      <c r="S27">
        <v>98</v>
      </c>
      <c r="T27">
        <v>123.5</v>
      </c>
      <c r="U27">
        <v>141</v>
      </c>
      <c r="V27">
        <v>154.5</v>
      </c>
      <c r="W27">
        <v>175</v>
      </c>
      <c r="X27">
        <v>201.5</v>
      </c>
      <c r="Y27">
        <v>211.5</v>
      </c>
      <c r="Z27">
        <v>1311</v>
      </c>
      <c r="AA27">
        <v>1739</v>
      </c>
      <c r="AB27">
        <v>1861.5</v>
      </c>
      <c r="AC27">
        <v>1937.5</v>
      </c>
      <c r="AD27">
        <v>1869.5</v>
      </c>
      <c r="AE27">
        <v>1711.5</v>
      </c>
      <c r="AF27">
        <v>1460.5</v>
      </c>
      <c r="AG27">
        <v>1362</v>
      </c>
      <c r="AH27" s="6">
        <f t="shared" si="4"/>
        <v>198.71631466045218</v>
      </c>
      <c r="AI27" s="6">
        <f t="shared" si="5"/>
        <v>169.45129349192206</v>
      </c>
      <c r="AJ27" s="6">
        <f t="shared" si="6"/>
        <v>143.93534893873513</v>
      </c>
      <c r="AK27" s="6">
        <f t="shared" si="7"/>
        <v>131.2181711661903</v>
      </c>
      <c r="AL27" s="6">
        <f t="shared" si="8"/>
        <v>115.54957907196052</v>
      </c>
      <c r="AM27" s="6">
        <f t="shared" si="9"/>
        <v>93.392120606324184</v>
      </c>
      <c r="AN27" s="6">
        <f t="shared" si="10"/>
        <v>69.214628601204907</v>
      </c>
      <c r="AO27" s="6">
        <f t="shared" si="11"/>
        <v>61.494760990400422</v>
      </c>
      <c r="AP27" s="6">
        <v>25.3</v>
      </c>
      <c r="AQ27" s="6">
        <v>1008</v>
      </c>
      <c r="AR27" s="6">
        <v>42</v>
      </c>
      <c r="AS27" s="9">
        <v>1.171</v>
      </c>
      <c r="AT27" s="8">
        <v>31.97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idden="1">
      <c r="A28" t="s">
        <v>53</v>
      </c>
      <c r="B28" s="5">
        <v>44621</v>
      </c>
      <c r="C28" s="3">
        <v>80.5</v>
      </c>
      <c r="D28" s="7">
        <v>104</v>
      </c>
      <c r="E28" s="4">
        <v>1889</v>
      </c>
      <c r="F28" s="6">
        <f>PowerProfiling[[#This Row],[IL Peak Power (W)]]/PowerProfiling[[#This Row],[Rider Weight]]</f>
        <v>23.465838509316772</v>
      </c>
      <c r="G28" s="7">
        <v>133</v>
      </c>
      <c r="H28" s="7">
        <v>277</v>
      </c>
      <c r="I28">
        <v>262</v>
      </c>
      <c r="J28" s="8">
        <v>35.72</v>
      </c>
      <c r="K28">
        <v>1520</v>
      </c>
      <c r="L28" s="6">
        <f>PowerProfiling[[#This Row],[S500Peak Power]]/PowerProfiling[[#This Row],[Rider Weight]]</f>
        <v>18.881987577639752</v>
      </c>
      <c r="M28" s="6">
        <v>78</v>
      </c>
      <c r="N28">
        <v>1264</v>
      </c>
      <c r="O28">
        <v>1103</v>
      </c>
      <c r="P28">
        <v>917</v>
      </c>
      <c r="Q28" s="7">
        <f>((PowerProfiling[[#This Row],[S500Peak Power]]-PowerProfiling[[#This Row],[30s MMP]])/PowerProfiling[[#This Row],[S500Peak Power]])*100</f>
        <v>39.671052631578945</v>
      </c>
      <c r="AH28" s="6"/>
      <c r="AI28" s="6"/>
      <c r="AJ28" s="6"/>
      <c r="AK28" s="6"/>
      <c r="AL28" s="6"/>
      <c r="AM28" s="6"/>
      <c r="AN28" s="6"/>
      <c r="AO28" s="6"/>
      <c r="AP28" s="6">
        <v>27.4</v>
      </c>
      <c r="AQ28" s="6">
        <v>1015</v>
      </c>
      <c r="AR28" s="6">
        <v>48</v>
      </c>
      <c r="AS28" s="9">
        <v>1.169</v>
      </c>
      <c r="AT28" s="8">
        <v>35.72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idden="1">
      <c r="A29" t="s">
        <v>41</v>
      </c>
      <c r="B29" s="5">
        <v>44235</v>
      </c>
      <c r="C29" s="3">
        <v>89</v>
      </c>
      <c r="D29" s="4">
        <v>104</v>
      </c>
      <c r="E29" s="4">
        <v>1885</v>
      </c>
      <c r="F29" s="6">
        <f>PowerProfiling[[#This Row],[IL Peak Power (W)]]/PowerProfiling[[#This Row],[Rider Weight]]</f>
        <v>21.179775280898877</v>
      </c>
      <c r="G29" s="7">
        <f>PowerProfiling[[#This Row],[IL Max Cadence (RPM)]]*0.5</f>
        <v>139.5</v>
      </c>
      <c r="H29" s="7">
        <v>244</v>
      </c>
      <c r="I29">
        <v>279</v>
      </c>
      <c r="K29">
        <v>1792</v>
      </c>
      <c r="L29" s="6">
        <f>PowerProfiling[[#This Row],[S500Peak Power]]/PowerProfiling[[#This Row],[Rider Weight]]</f>
        <v>20.134831460674157</v>
      </c>
      <c r="M29" s="6"/>
      <c r="N29">
        <v>1525</v>
      </c>
      <c r="O29">
        <v>1248</v>
      </c>
      <c r="Q29" s="7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9"/>
      <c r="AT29" s="8"/>
      <c r="AU29" s="7">
        <v>1792</v>
      </c>
      <c r="AV29" s="7">
        <v>1044</v>
      </c>
      <c r="AW29" s="7">
        <v>677</v>
      </c>
      <c r="AX29" s="7">
        <v>50</v>
      </c>
      <c r="AY29" s="7">
        <v>1726</v>
      </c>
      <c r="AZ29" s="7">
        <v>953</v>
      </c>
      <c r="BA29" s="7">
        <v>570</v>
      </c>
      <c r="BB29" s="7">
        <v>55</v>
      </c>
      <c r="BC29" s="7">
        <v>1315</v>
      </c>
      <c r="BD29" s="7">
        <v>761</v>
      </c>
      <c r="BE29" s="7">
        <v>385</v>
      </c>
      <c r="BF29" s="7">
        <v>63</v>
      </c>
      <c r="BG29" s="6">
        <f>((AU29-BC29)/AU29)*100</f>
        <v>26.618303571428569</v>
      </c>
      <c r="BH29" s="6">
        <f>((AV29-BD29)/AV29)*100</f>
        <v>27.107279693486593</v>
      </c>
      <c r="BI29" s="6"/>
    </row>
    <row r="30" spans="1:61" hidden="1">
      <c r="A30" t="s">
        <v>40</v>
      </c>
      <c r="B30" s="5">
        <v>44615</v>
      </c>
      <c r="C30" s="3">
        <v>82.9</v>
      </c>
      <c r="D30" s="4">
        <v>104</v>
      </c>
      <c r="E30" s="4">
        <v>1880</v>
      </c>
      <c r="F30" s="6">
        <f>PowerProfiling[[#This Row],[IL Peak Power (W)]]/PowerProfiling[[#This Row],[Rider Weight]]</f>
        <v>22.677925211097705</v>
      </c>
      <c r="G30" s="7">
        <v>127</v>
      </c>
      <c r="H30" s="7">
        <v>292</v>
      </c>
      <c r="I30">
        <v>255</v>
      </c>
      <c r="J30" s="8">
        <v>31.2</v>
      </c>
      <c r="K30">
        <v>1949</v>
      </c>
      <c r="L30" s="6">
        <f>PowerProfiling[[#This Row],[S500Peak Power]]/PowerProfiling[[#This Row],[Rider Weight]]</f>
        <v>23.510253317249695</v>
      </c>
      <c r="M30" s="6">
        <v>68</v>
      </c>
      <c r="N30">
        <v>1686</v>
      </c>
      <c r="O30">
        <v>1402</v>
      </c>
      <c r="P30">
        <v>1173</v>
      </c>
      <c r="Q30" s="7">
        <f>((PowerProfiling[[#This Row],[S500Peak Power]]-PowerProfiling[[#This Row],[30s MMP]])/PowerProfiling[[#This Row],[S500Peak Power]])*100</f>
        <v>39.815289892252437</v>
      </c>
      <c r="AH30" s="6"/>
      <c r="AI30" s="6"/>
      <c r="AJ30" s="6"/>
      <c r="AK30" s="6"/>
      <c r="AL30" s="6"/>
      <c r="AM30" s="6"/>
      <c r="AN30" s="6"/>
      <c r="AO30" s="6"/>
      <c r="AP30" s="6">
        <v>29.2</v>
      </c>
      <c r="AQ30" s="6">
        <v>1017</v>
      </c>
      <c r="AR30" s="6">
        <v>49</v>
      </c>
      <c r="AS30" s="9">
        <v>1.163</v>
      </c>
      <c r="AT30" s="8">
        <v>31.23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idden="1">
      <c r="A31" t="s">
        <v>48</v>
      </c>
      <c r="B31" s="5">
        <v>43690</v>
      </c>
      <c r="C31" s="6">
        <v>92.9</v>
      </c>
      <c r="D31" s="7">
        <v>104</v>
      </c>
      <c r="E31" s="7">
        <v>1869</v>
      </c>
      <c r="F31" s="6">
        <f>PowerProfiling[[#This Row],[IL Peak Power (W)]]/PowerProfiling[[#This Row],[Rider Weight]]</f>
        <v>20.118406889128092</v>
      </c>
      <c r="G31" s="7">
        <f>PowerProfiling[[#This Row],[IL Max Cadence (RPM)]]*0.5</f>
        <v>142</v>
      </c>
      <c r="H31" s="7">
        <v>239</v>
      </c>
      <c r="I31">
        <v>284</v>
      </c>
      <c r="J31">
        <v>32.450000000000003</v>
      </c>
      <c r="K31">
        <v>1867</v>
      </c>
      <c r="L31" s="6">
        <f>PowerProfiling[[#This Row],[S500Peak Power]]/PowerProfiling[[#This Row],[Rider Weight]]</f>
        <v>20.096878363832076</v>
      </c>
      <c r="M31" s="6">
        <v>54</v>
      </c>
      <c r="N31">
        <v>1626</v>
      </c>
      <c r="O31">
        <v>1377</v>
      </c>
      <c r="P31">
        <v>1174</v>
      </c>
      <c r="Q31" s="8"/>
      <c r="R31">
        <v>87.5</v>
      </c>
      <c r="S31">
        <v>116</v>
      </c>
      <c r="T31">
        <v>135</v>
      </c>
      <c r="U31">
        <v>150</v>
      </c>
      <c r="V31">
        <v>162</v>
      </c>
      <c r="W31">
        <v>173</v>
      </c>
      <c r="X31">
        <v>181.5</v>
      </c>
      <c r="Y31">
        <v>216.5</v>
      </c>
      <c r="Z31">
        <v>1467</v>
      </c>
      <c r="AA31">
        <v>1778</v>
      </c>
      <c r="AB31">
        <v>1884</v>
      </c>
      <c r="AC31">
        <v>1916.5</v>
      </c>
      <c r="AD31">
        <v>1894.5</v>
      </c>
      <c r="AE31">
        <v>1816.5</v>
      </c>
      <c r="AF31">
        <v>1750.5</v>
      </c>
      <c r="AG31">
        <v>1289</v>
      </c>
      <c r="AH31" s="6">
        <f t="shared" ref="AH31:AO32" si="12">Z31/(R31*(PI()/30))</f>
        <v>160.10077818227003</v>
      </c>
      <c r="AI31" s="6">
        <f t="shared" si="12"/>
        <v>146.36766662968444</v>
      </c>
      <c r="AJ31" s="6">
        <f t="shared" si="12"/>
        <v>133.26573901561369</v>
      </c>
      <c r="AK31" s="6">
        <f t="shared" si="12"/>
        <v>122.00817937424696</v>
      </c>
      <c r="AL31" s="6">
        <f t="shared" si="12"/>
        <v>111.67371840281324</v>
      </c>
      <c r="AM31" s="6">
        <f t="shared" si="12"/>
        <v>100.26761414789407</v>
      </c>
      <c r="AN31" s="6">
        <f t="shared" si="12"/>
        <v>92.099414175987704</v>
      </c>
      <c r="AO31" s="6">
        <f t="shared" si="12"/>
        <v>56.854703458324181</v>
      </c>
      <c r="AP31" s="6">
        <v>22.6</v>
      </c>
      <c r="AQ31" s="6">
        <v>997</v>
      </c>
      <c r="AR31" s="6">
        <v>48</v>
      </c>
      <c r="AS31" s="9">
        <v>1.169</v>
      </c>
      <c r="AT31" s="8">
        <v>32.450000000000003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>
      <c r="A32" t="s">
        <v>55</v>
      </c>
      <c r="B32" s="5">
        <v>43690</v>
      </c>
      <c r="C32" s="3">
        <v>95.1</v>
      </c>
      <c r="D32" s="7">
        <v>104</v>
      </c>
      <c r="E32" s="4">
        <v>1895</v>
      </c>
      <c r="F32" s="6">
        <f>PowerProfiling[[#This Row],[IL Peak Power (W)]]/PowerProfiling[[#This Row],[Rider Weight]]</f>
        <v>19.926393270241853</v>
      </c>
      <c r="G32" s="7">
        <f>PowerProfiling[[#This Row],[IL Max Cadence (RPM)]]*0.5</f>
        <v>132</v>
      </c>
      <c r="H32" s="7">
        <v>260</v>
      </c>
      <c r="I32">
        <v>264</v>
      </c>
      <c r="J32">
        <v>32.270000000000003</v>
      </c>
      <c r="K32">
        <v>2163</v>
      </c>
      <c r="L32" s="6">
        <f>PowerProfiling[[#This Row],[S500Peak Power]]/PowerProfiling[[#This Row],[Rider Weight]]</f>
        <v>22.744479495268141</v>
      </c>
      <c r="M32" s="6">
        <v>62</v>
      </c>
      <c r="N32">
        <v>1879</v>
      </c>
      <c r="O32">
        <v>1500</v>
      </c>
      <c r="P32">
        <v>1264</v>
      </c>
      <c r="Q32" s="8"/>
      <c r="R32">
        <v>91</v>
      </c>
      <c r="S32">
        <v>118.5</v>
      </c>
      <c r="T32">
        <v>138</v>
      </c>
      <c r="U32">
        <v>152.5</v>
      </c>
      <c r="V32">
        <v>168.5</v>
      </c>
      <c r="W32">
        <v>184.5</v>
      </c>
      <c r="X32">
        <v>199</v>
      </c>
      <c r="Y32">
        <v>213.5</v>
      </c>
      <c r="Z32">
        <v>1497</v>
      </c>
      <c r="AA32">
        <v>1946</v>
      </c>
      <c r="AB32">
        <v>1940.5</v>
      </c>
      <c r="AC32">
        <v>1981</v>
      </c>
      <c r="AD32">
        <v>1745</v>
      </c>
      <c r="AE32">
        <v>1549.5</v>
      </c>
      <c r="AF32">
        <v>1445</v>
      </c>
      <c r="AG32">
        <v>1103</v>
      </c>
      <c r="AH32" s="6">
        <f t="shared" si="12"/>
        <v>157.09117569795649</v>
      </c>
      <c r="AI32" s="6">
        <f t="shared" si="12"/>
        <v>156.81798443383715</v>
      </c>
      <c r="AJ32" s="6">
        <f t="shared" si="12"/>
        <v>134.27833350861866</v>
      </c>
      <c r="AK32" s="6">
        <f t="shared" si="12"/>
        <v>124.04692810427987</v>
      </c>
      <c r="AL32" s="6">
        <f t="shared" si="12"/>
        <v>98.893308852946248</v>
      </c>
      <c r="AM32" s="6">
        <f t="shared" si="12"/>
        <v>80.198564006794101</v>
      </c>
      <c r="AN32" s="6">
        <f t="shared" si="12"/>
        <v>69.340369678730283</v>
      </c>
      <c r="AO32" s="6">
        <f t="shared" si="12"/>
        <v>49.334305076447933</v>
      </c>
      <c r="AP32" s="6">
        <v>22.6</v>
      </c>
      <c r="AQ32" s="6">
        <v>997</v>
      </c>
      <c r="AR32" s="6">
        <v>48</v>
      </c>
      <c r="AS32" s="9">
        <v>1.169</v>
      </c>
      <c r="AT32" s="8">
        <v>32.270000000000003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idden="1">
      <c r="A33" t="s">
        <v>53</v>
      </c>
      <c r="B33" s="5">
        <v>44509</v>
      </c>
      <c r="C33" s="6">
        <v>79.8</v>
      </c>
      <c r="D33" s="7">
        <v>104</v>
      </c>
      <c r="E33" s="7">
        <v>1856</v>
      </c>
      <c r="F33" s="6">
        <f>PowerProfiling[[#This Row],[IL Peak Power (W)]]/PowerProfiling[[#This Row],[Rider Weight]]</f>
        <v>23.258145363408524</v>
      </c>
      <c r="G33" s="7">
        <v>134.5</v>
      </c>
      <c r="H33" s="7">
        <v>261.5</v>
      </c>
      <c r="I33" s="7">
        <v>263</v>
      </c>
      <c r="J33">
        <v>38.549999999999997</v>
      </c>
      <c r="K33">
        <v>1224</v>
      </c>
      <c r="L33" s="6">
        <f>PowerProfiling[[#This Row],[S500Peak Power]]/PowerProfiling[[#This Row],[Rider Weight]]</f>
        <v>15.338345864661655</v>
      </c>
      <c r="M33" s="6">
        <v>118</v>
      </c>
      <c r="N33">
        <v>1009</v>
      </c>
      <c r="O33">
        <v>966</v>
      </c>
      <c r="P33">
        <v>830</v>
      </c>
      <c r="Q33" s="7">
        <f>((PowerProfiling[[#This Row],[S500Peak Power]]-PowerProfiling[[#This Row],[30s MMP]])/PowerProfiling[[#This Row],[S500Peak Power]])*100</f>
        <v>32.189542483660134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9"/>
      <c r="AT33" s="8">
        <v>38.549999999999997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idden="1">
      <c r="A34" t="s">
        <v>41</v>
      </c>
      <c r="B34" s="5">
        <v>44140</v>
      </c>
      <c r="C34" s="6">
        <v>90.5</v>
      </c>
      <c r="D34" s="7">
        <v>104</v>
      </c>
      <c r="E34" s="7">
        <v>1855</v>
      </c>
      <c r="F34" s="6">
        <f>PowerProfiling[[#This Row],[IL Peak Power (W)]]/PowerProfiling[[#This Row],[Rider Weight]]</f>
        <v>20.497237569060772</v>
      </c>
      <c r="G34" s="7">
        <f>PowerProfiling[[#This Row],[IL Max Cadence (RPM)]]*0.5</f>
        <v>133</v>
      </c>
      <c r="H34" s="7">
        <v>260</v>
      </c>
      <c r="I34">
        <v>266</v>
      </c>
      <c r="K34">
        <v>1773</v>
      </c>
      <c r="L34" s="6">
        <f>PowerProfiling[[#This Row],[S500Peak Power]]/PowerProfiling[[#This Row],[Rider Weight]]</f>
        <v>19.591160220994475</v>
      </c>
      <c r="M34" s="6"/>
      <c r="N34">
        <v>1581</v>
      </c>
      <c r="O34">
        <v>1273</v>
      </c>
      <c r="Q34" s="7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9"/>
      <c r="AT34" s="8"/>
      <c r="AU34">
        <v>1773</v>
      </c>
      <c r="AV34">
        <v>1055</v>
      </c>
      <c r="AW34">
        <v>690</v>
      </c>
      <c r="AX34">
        <v>50</v>
      </c>
      <c r="AY34">
        <v>1738</v>
      </c>
      <c r="AZ34">
        <v>929</v>
      </c>
      <c r="BA34">
        <v>517</v>
      </c>
      <c r="BB34">
        <v>60</v>
      </c>
      <c r="BC34">
        <v>1529</v>
      </c>
      <c r="BD34">
        <v>797</v>
      </c>
      <c r="BE34">
        <v>496</v>
      </c>
      <c r="BF34">
        <v>54</v>
      </c>
      <c r="BG34" s="6">
        <f>((AU34-BC34)/AU34)*100</f>
        <v>13.761985335589397</v>
      </c>
      <c r="BH34" s="6">
        <f>((AV34-BD34)/AV34)*100</f>
        <v>24.454976303317537</v>
      </c>
      <c r="BI34" s="6"/>
    </row>
    <row r="35" spans="1:61" hidden="1">
      <c r="A35" t="s">
        <v>40</v>
      </c>
      <c r="B35" s="5">
        <v>43472</v>
      </c>
      <c r="C35" s="3">
        <v>85.8</v>
      </c>
      <c r="D35" s="4">
        <v>104</v>
      </c>
      <c r="E35" s="4">
        <v>1850</v>
      </c>
      <c r="F35" s="6">
        <f>PowerProfiling[[#This Row],[IL Peak Power (W)]]/PowerProfiling[[#This Row],[Rider Weight]]</f>
        <v>21.561771561771561</v>
      </c>
      <c r="G35" s="7">
        <f>PowerProfiling[[#This Row],[IL Max Cadence (RPM)]]*0.5</f>
        <v>136.5</v>
      </c>
      <c r="H35" s="7">
        <v>256</v>
      </c>
      <c r="I35">
        <v>273</v>
      </c>
      <c r="J35">
        <v>30.99</v>
      </c>
      <c r="K35">
        <v>1932</v>
      </c>
      <c r="L35" s="6">
        <f>PowerProfiling[[#This Row],[S500Peak Power]]/PowerProfiling[[#This Row],[Rider Weight]]</f>
        <v>22.517482517482517</v>
      </c>
      <c r="M35" s="6">
        <v>75</v>
      </c>
      <c r="N35">
        <v>1715</v>
      </c>
      <c r="O35">
        <v>1454</v>
      </c>
      <c r="P35">
        <v>1224</v>
      </c>
      <c r="Q35" s="8">
        <f>((PowerProfiling[[#This Row],[S500Peak Power]]-PowerProfiling[[#This Row],[30s MMP]])/PowerProfiling[[#This Row],[S500Peak Power]])*100</f>
        <v>36.645962732919259</v>
      </c>
      <c r="R35">
        <v>92.5</v>
      </c>
      <c r="S35">
        <v>120.5</v>
      </c>
      <c r="T35">
        <v>137.5</v>
      </c>
      <c r="U35">
        <v>163</v>
      </c>
      <c r="V35">
        <v>180.5</v>
      </c>
      <c r="W35">
        <v>193.5</v>
      </c>
      <c r="X35">
        <v>205.5</v>
      </c>
      <c r="Y35">
        <v>213.5</v>
      </c>
      <c r="Z35">
        <v>1614.5</v>
      </c>
      <c r="AA35">
        <v>1834.5</v>
      </c>
      <c r="AB35">
        <v>1886</v>
      </c>
      <c r="AC35">
        <v>1815.5</v>
      </c>
      <c r="AD35">
        <v>1646</v>
      </c>
      <c r="AE35">
        <v>1479</v>
      </c>
      <c r="AF35">
        <v>1409.5</v>
      </c>
      <c r="AG35">
        <v>1292.5</v>
      </c>
      <c r="AH35" s="6">
        <f t="shared" ref="AH35:AO36" si="13">Z35/(R35*(PI()/30))</f>
        <v>166.67393878175031</v>
      </c>
      <c r="AI35" s="6">
        <f t="shared" si="13"/>
        <v>145.37912519605743</v>
      </c>
      <c r="AJ35" s="6">
        <f t="shared" si="13"/>
        <v>130.98162443839183</v>
      </c>
      <c r="AK35" s="6">
        <f t="shared" si="13"/>
        <v>106.36041687730159</v>
      </c>
      <c r="AL35" s="6">
        <f t="shared" si="13"/>
        <v>87.081120109449216</v>
      </c>
      <c r="AM35" s="6">
        <f t="shared" si="13"/>
        <v>72.989197157492484</v>
      </c>
      <c r="AN35" s="6">
        <f t="shared" si="13"/>
        <v>65.497486799423797</v>
      </c>
      <c r="AO35" s="6">
        <f t="shared" si="13"/>
        <v>57.810144434550281</v>
      </c>
      <c r="AP35" s="6">
        <v>27</v>
      </c>
      <c r="AQ35" s="6">
        <v>1011</v>
      </c>
      <c r="AR35" s="6">
        <v>57</v>
      </c>
      <c r="AS35" s="9">
        <v>1.165</v>
      </c>
      <c r="AT35" s="8">
        <v>31.03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>
      <c r="A36" t="s">
        <v>55</v>
      </c>
      <c r="B36" s="5">
        <v>43739</v>
      </c>
      <c r="C36" s="3">
        <v>95.7</v>
      </c>
      <c r="D36" s="4">
        <v>104</v>
      </c>
      <c r="E36" s="4">
        <v>1845</v>
      </c>
      <c r="F36" s="6">
        <f>PowerProfiling[[#This Row],[IL Peak Power (W)]]/PowerProfiling[[#This Row],[Rider Weight]]</f>
        <v>19.278996865203762</v>
      </c>
      <c r="G36" s="7">
        <f>PowerProfiling[[#This Row],[IL Max Cadence (RPM)]]*0.5</f>
        <v>132</v>
      </c>
      <c r="H36" s="7">
        <v>254</v>
      </c>
      <c r="I36">
        <v>264</v>
      </c>
      <c r="J36" s="8">
        <v>31.91</v>
      </c>
      <c r="K36">
        <v>2059</v>
      </c>
      <c r="L36" s="6">
        <f>PowerProfiling[[#This Row],[S500Peak Power]]/PowerProfiling[[#This Row],[Rider Weight]]</f>
        <v>21.515151515151516</v>
      </c>
      <c r="M36" s="6">
        <v>62</v>
      </c>
      <c r="N36">
        <v>1780</v>
      </c>
      <c r="O36">
        <v>1469</v>
      </c>
      <c r="P36">
        <v>1244</v>
      </c>
      <c r="Q36" s="8"/>
      <c r="R36">
        <v>89</v>
      </c>
      <c r="S36">
        <v>116.5</v>
      </c>
      <c r="T36">
        <v>137</v>
      </c>
      <c r="U36">
        <v>151</v>
      </c>
      <c r="V36">
        <v>171</v>
      </c>
      <c r="W36">
        <v>185.5</v>
      </c>
      <c r="X36">
        <v>196.5</v>
      </c>
      <c r="Y36">
        <v>211</v>
      </c>
      <c r="Z36">
        <v>1452</v>
      </c>
      <c r="AA36">
        <v>1861.5</v>
      </c>
      <c r="AB36">
        <v>1958</v>
      </c>
      <c r="AC36">
        <v>1912.5</v>
      </c>
      <c r="AD36">
        <v>1667</v>
      </c>
      <c r="AE36">
        <v>1498.5</v>
      </c>
      <c r="AF36">
        <v>1354</v>
      </c>
      <c r="AG36">
        <v>1195</v>
      </c>
      <c r="AH36" s="6">
        <f t="shared" si="13"/>
        <v>155.79301845130252</v>
      </c>
      <c r="AI36" s="6">
        <f t="shared" si="13"/>
        <v>152.58382484063341</v>
      </c>
      <c r="AJ36" s="6">
        <f t="shared" si="13"/>
        <v>136.47826798858296</v>
      </c>
      <c r="AK36" s="6">
        <f t="shared" si="13"/>
        <v>120.94721668738406</v>
      </c>
      <c r="AL36" s="6">
        <f t="shared" si="13"/>
        <v>93.091680748838442</v>
      </c>
      <c r="AM36" s="6">
        <f t="shared" si="13"/>
        <v>77.140813657101404</v>
      </c>
      <c r="AN36" s="6">
        <f t="shared" si="13"/>
        <v>65.800242121046196</v>
      </c>
      <c r="AO36" s="6">
        <f t="shared" si="13"/>
        <v>54.082509098051638</v>
      </c>
      <c r="AP36" s="6">
        <v>22.4</v>
      </c>
      <c r="AQ36" s="6">
        <v>1001.8</v>
      </c>
      <c r="AR36" s="6">
        <v>51.2</v>
      </c>
      <c r="AS36" s="9">
        <v>1.1859999999999999</v>
      </c>
      <c r="AT36" s="8">
        <v>31.84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>
      <c r="A37" t="s">
        <v>55</v>
      </c>
      <c r="B37" s="5">
        <v>44036</v>
      </c>
      <c r="C37" s="3">
        <v>95.9</v>
      </c>
      <c r="D37" s="4">
        <v>104</v>
      </c>
      <c r="E37" s="4">
        <v>1844</v>
      </c>
      <c r="F37" s="6">
        <f>PowerProfiling[[#This Row],[IL Peak Power (W)]]/PowerProfiling[[#This Row],[Rider Weight]]</f>
        <v>19.228362877997913</v>
      </c>
      <c r="G37" s="7">
        <f>PowerProfiling[[#This Row],[IL Max Cadence (RPM)]]*0.5</f>
        <v>139.5</v>
      </c>
      <c r="H37" s="7">
        <v>246</v>
      </c>
      <c r="I37">
        <v>279</v>
      </c>
      <c r="K37">
        <v>1922</v>
      </c>
      <c r="L37" s="6">
        <f>PowerProfiling[[#This Row],[S500Peak Power]]/PowerProfiling[[#This Row],[Rider Weight]]</f>
        <v>20.041710114702813</v>
      </c>
      <c r="M37" s="6"/>
      <c r="N37">
        <v>1677</v>
      </c>
      <c r="O37">
        <v>1346</v>
      </c>
      <c r="Q37" s="7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9"/>
      <c r="AT37" s="8"/>
      <c r="AU37">
        <v>1922</v>
      </c>
      <c r="AV37">
        <v>1122</v>
      </c>
      <c r="AW37">
        <v>734</v>
      </c>
      <c r="AX37">
        <v>52</v>
      </c>
      <c r="AY37">
        <v>1924</v>
      </c>
      <c r="AZ37">
        <v>1062</v>
      </c>
      <c r="BA37">
        <v>654</v>
      </c>
      <c r="BB37">
        <v>57</v>
      </c>
      <c r="BC37">
        <v>1780</v>
      </c>
      <c r="BD37">
        <v>966</v>
      </c>
      <c r="BE37">
        <v>592</v>
      </c>
      <c r="BF37">
        <v>58</v>
      </c>
      <c r="BG37" s="6">
        <f>((AU37-BC37)/AU37)*100</f>
        <v>7.3881373569198754</v>
      </c>
      <c r="BH37" s="6">
        <f>((AV37-BD37)/AV37)*100</f>
        <v>13.903743315508022</v>
      </c>
      <c r="BI37" s="6"/>
    </row>
    <row r="38" spans="1:61">
      <c r="A38" t="s">
        <v>55</v>
      </c>
      <c r="B38" s="5">
        <v>44097</v>
      </c>
      <c r="C38" s="3">
        <v>98.7</v>
      </c>
      <c r="D38" s="4">
        <v>104</v>
      </c>
      <c r="E38" s="4">
        <v>1857</v>
      </c>
      <c r="F38" s="6">
        <f>PowerProfiling[[#This Row],[IL Peak Power (W)]]/PowerProfiling[[#This Row],[Rider Weight]]</f>
        <v>18.814589665653497</v>
      </c>
      <c r="G38" s="7">
        <f>PowerProfiling[[#This Row],[IL Max Cadence (RPM)]]*0.5</f>
        <v>138.5</v>
      </c>
      <c r="H38" s="7">
        <v>251</v>
      </c>
      <c r="I38">
        <v>277</v>
      </c>
      <c r="K38">
        <v>1967</v>
      </c>
      <c r="L38" s="6">
        <f>PowerProfiling[[#This Row],[S500Peak Power]]/PowerProfiling[[#This Row],[Rider Weight]]</f>
        <v>19.929078014184398</v>
      </c>
      <c r="M38" s="6"/>
      <c r="N38">
        <v>1702</v>
      </c>
      <c r="O38">
        <v>1360</v>
      </c>
      <c r="Q38" s="7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9"/>
      <c r="AT38" s="8"/>
      <c r="AU38">
        <v>1967</v>
      </c>
      <c r="AV38">
        <v>1136</v>
      </c>
      <c r="AW38">
        <v>747</v>
      </c>
      <c r="AX38">
        <v>51</v>
      </c>
      <c r="AY38">
        <v>1852</v>
      </c>
      <c r="AZ38">
        <v>1011</v>
      </c>
      <c r="BA38">
        <v>621</v>
      </c>
      <c r="BB38">
        <v>56</v>
      </c>
      <c r="BC38">
        <v>1672</v>
      </c>
      <c r="BD38">
        <v>889</v>
      </c>
      <c r="BE38">
        <v>505</v>
      </c>
      <c r="BF38">
        <v>60</v>
      </c>
      <c r="BG38" s="6">
        <f>((AU38-BC38)/AU38)*100</f>
        <v>14.997458057956278</v>
      </c>
      <c r="BH38" s="6">
        <f>((AV38-BD38)/AV38)*100</f>
        <v>21.742957746478872</v>
      </c>
      <c r="BI38" s="6"/>
    </row>
    <row r="39" spans="1:61" hidden="1">
      <c r="A39" t="s">
        <v>40</v>
      </c>
      <c r="B39" s="5">
        <v>43655</v>
      </c>
      <c r="C39" s="6">
        <v>87.9</v>
      </c>
      <c r="D39" s="7">
        <v>104</v>
      </c>
      <c r="E39" s="7">
        <v>1838</v>
      </c>
      <c r="F39" s="6">
        <f>PowerProfiling[[#This Row],[IL Peak Power (W)]]/PowerProfiling[[#This Row],[Rider Weight]]</f>
        <v>20.91012514220705</v>
      </c>
      <c r="G39" s="7">
        <f>PowerProfiling[[#This Row],[IL Max Cadence (RPM)]]*0.5</f>
        <v>130.5</v>
      </c>
      <c r="H39" s="7">
        <v>267</v>
      </c>
      <c r="I39">
        <v>261</v>
      </c>
      <c r="J39" s="8">
        <v>32.18</v>
      </c>
      <c r="K39" s="7">
        <v>1944.0040283203125</v>
      </c>
      <c r="L39" s="6">
        <f>PowerProfiling[[#This Row],[S500Peak Power]]/PowerProfiling[[#This Row],[Rider Weight]]</f>
        <v>22.116086784076362</v>
      </c>
      <c r="M39" s="6">
        <v>78</v>
      </c>
      <c r="N39">
        <v>1722</v>
      </c>
      <c r="O39">
        <v>1432</v>
      </c>
      <c r="P39">
        <v>1198</v>
      </c>
      <c r="Q39" s="8"/>
      <c r="R39">
        <v>96.5</v>
      </c>
      <c r="S39">
        <v>122.5</v>
      </c>
      <c r="T39">
        <v>139.5</v>
      </c>
      <c r="U39">
        <v>153.5</v>
      </c>
      <c r="V39">
        <v>169</v>
      </c>
      <c r="W39">
        <v>180.5</v>
      </c>
      <c r="X39">
        <v>196.5</v>
      </c>
      <c r="Y39">
        <v>209</v>
      </c>
      <c r="Z39">
        <v>1695.5</v>
      </c>
      <c r="AA39">
        <v>1825.5</v>
      </c>
      <c r="AB39">
        <v>1862</v>
      </c>
      <c r="AC39">
        <v>1786.5</v>
      </c>
      <c r="AD39">
        <v>1686.5</v>
      </c>
      <c r="AE39">
        <v>1566.5</v>
      </c>
      <c r="AF39">
        <v>1358.5</v>
      </c>
      <c r="AG39">
        <v>1196</v>
      </c>
      <c r="AH39" s="6">
        <f t="shared" ref="AH39:AO40" si="14">Z39/(R39*(PI()/30))</f>
        <v>167.78064622526955</v>
      </c>
      <c r="AI39" s="6">
        <f t="shared" si="14"/>
        <v>142.30400748453303</v>
      </c>
      <c r="AJ39" s="6">
        <f t="shared" si="14"/>
        <v>127.4608619514448</v>
      </c>
      <c r="AK39" s="6">
        <f t="shared" si="14"/>
        <v>111.13888175908966</v>
      </c>
      <c r="AL39" s="6">
        <f t="shared" si="14"/>
        <v>95.29519935780408</v>
      </c>
      <c r="AM39" s="6">
        <f t="shared" si="14"/>
        <v>82.875197236605217</v>
      </c>
      <c r="AN39" s="6">
        <f t="shared" si="14"/>
        <v>66.018928302393846</v>
      </c>
      <c r="AO39" s="6">
        <f t="shared" si="14"/>
        <v>54.645735484566558</v>
      </c>
      <c r="AP39" s="6">
        <v>22.7</v>
      </c>
      <c r="AQ39" s="6">
        <v>1006</v>
      </c>
      <c r="AR39" s="6">
        <v>46</v>
      </c>
      <c r="AS39" s="9">
        <v>1.179</v>
      </c>
      <c r="AT39" s="8">
        <v>32.08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idden="1">
      <c r="A40" t="s">
        <v>48</v>
      </c>
      <c r="B40" s="5">
        <v>43655</v>
      </c>
      <c r="C40" s="3">
        <v>92.9</v>
      </c>
      <c r="D40" s="4">
        <v>104</v>
      </c>
      <c r="E40" s="4">
        <v>1825</v>
      </c>
      <c r="F40" s="6">
        <f>PowerProfiling[[#This Row],[IL Peak Power (W)]]/PowerProfiling[[#This Row],[Rider Weight]]</f>
        <v>19.644779332615716</v>
      </c>
      <c r="G40" s="7">
        <f>PowerProfiling[[#This Row],[IL Max Cadence (RPM)]]*0.5</f>
        <v>138.5</v>
      </c>
      <c r="H40" s="7">
        <v>237</v>
      </c>
      <c r="I40">
        <v>277</v>
      </c>
      <c r="J40" s="8">
        <v>32.549999999999997</v>
      </c>
      <c r="K40" s="7">
        <v>1915.9268798828125</v>
      </c>
      <c r="L40" s="6">
        <f>PowerProfiling[[#This Row],[S500Peak Power]]/PowerProfiling[[#This Row],[Rider Weight]]</f>
        <v>20.623540149438238</v>
      </c>
      <c r="M40" s="6">
        <v>94</v>
      </c>
      <c r="N40">
        <v>1706</v>
      </c>
      <c r="O40">
        <v>1430</v>
      </c>
      <c r="P40">
        <v>1204</v>
      </c>
      <c r="Q40" s="8"/>
      <c r="R40">
        <v>84.5</v>
      </c>
      <c r="S40">
        <v>113.5</v>
      </c>
      <c r="T40">
        <v>148</v>
      </c>
      <c r="U40">
        <v>160.5</v>
      </c>
      <c r="V40">
        <v>170.5</v>
      </c>
      <c r="W40">
        <v>192.5</v>
      </c>
      <c r="X40">
        <v>207</v>
      </c>
      <c r="Y40">
        <v>213.5</v>
      </c>
      <c r="Z40">
        <v>1380.5</v>
      </c>
      <c r="AA40">
        <v>1772.5</v>
      </c>
      <c r="AB40">
        <v>1900</v>
      </c>
      <c r="AC40">
        <v>1833</v>
      </c>
      <c r="AD40">
        <v>1785.5</v>
      </c>
      <c r="AE40">
        <v>1586</v>
      </c>
      <c r="AF40">
        <v>1354.5</v>
      </c>
      <c r="AG40">
        <v>1220</v>
      </c>
      <c r="AH40" s="6">
        <f t="shared" si="14"/>
        <v>156.00951403907325</v>
      </c>
      <c r="AI40" s="6">
        <f t="shared" si="14"/>
        <v>149.12888280020326</v>
      </c>
      <c r="AJ40" s="6">
        <f t="shared" si="14"/>
        <v>122.59232103024372</v>
      </c>
      <c r="AK40" s="6">
        <f t="shared" si="14"/>
        <v>109.05832175231558</v>
      </c>
      <c r="AL40" s="6">
        <f t="shared" si="14"/>
        <v>100.00157802601026</v>
      </c>
      <c r="AM40" s="6">
        <f t="shared" si="14"/>
        <v>78.67628251753122</v>
      </c>
      <c r="AN40" s="6">
        <f t="shared" si="14"/>
        <v>62.485614613905</v>
      </c>
      <c r="AO40" s="6">
        <f t="shared" si="14"/>
        <v>54.567409060078404</v>
      </c>
      <c r="AP40" s="6">
        <v>22.7</v>
      </c>
      <c r="AQ40" s="6">
        <v>1006</v>
      </c>
      <c r="AR40" s="6">
        <v>46</v>
      </c>
      <c r="AS40" s="9">
        <v>1.179</v>
      </c>
      <c r="AT40" s="8">
        <v>32.450000000000003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idden="1">
      <c r="A41" t="s">
        <v>53</v>
      </c>
      <c r="B41" s="5">
        <v>44461</v>
      </c>
      <c r="C41" s="6">
        <v>79.400000000000006</v>
      </c>
      <c r="D41" s="7"/>
      <c r="E41" s="7">
        <v>1822</v>
      </c>
      <c r="F41" s="6">
        <f>PowerProfiling[[#This Row],[IL Peak Power (W)]]/PowerProfiling[[#This Row],[Rider Weight]]</f>
        <v>22.947103274559193</v>
      </c>
      <c r="G41" s="7">
        <v>140</v>
      </c>
      <c r="H41" s="7"/>
      <c r="L41" s="6"/>
      <c r="M41" s="6"/>
      <c r="Q41" s="7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9"/>
      <c r="AT41" s="8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idden="1">
      <c r="A42" t="s">
        <v>48</v>
      </c>
      <c r="B42" s="5">
        <v>44509</v>
      </c>
      <c r="C42" s="6">
        <v>92</v>
      </c>
      <c r="D42" s="7">
        <v>104</v>
      </c>
      <c r="E42" s="7">
        <v>1821.5</v>
      </c>
      <c r="F42" s="6">
        <f>PowerProfiling[[#This Row],[IL Peak Power (W)]]/PowerProfiling[[#This Row],[Rider Weight]]</f>
        <v>19.798913043478262</v>
      </c>
      <c r="G42" s="7">
        <v>121.5</v>
      </c>
      <c r="H42" s="7">
        <v>301</v>
      </c>
      <c r="I42" s="7">
        <v>235</v>
      </c>
      <c r="J42">
        <v>32.869999999999997</v>
      </c>
      <c r="K42">
        <v>1758</v>
      </c>
      <c r="L42" s="6">
        <f>PowerProfiling[[#This Row],[S500Peak Power]]/PowerProfiling[[#This Row],[Rider Weight]]</f>
        <v>19.108695652173914</v>
      </c>
      <c r="M42" s="6">
        <v>66</v>
      </c>
      <c r="N42">
        <v>1573</v>
      </c>
      <c r="O42">
        <v>1303</v>
      </c>
      <c r="P42">
        <v>1097</v>
      </c>
      <c r="Q42" s="7">
        <f>((PowerProfiling[[#This Row],[S500Peak Power]]-PowerProfiling[[#This Row],[30s MMP]])/PowerProfiling[[#This Row],[S500Peak Power]])*100</f>
        <v>37.599544937428895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9"/>
      <c r="AT42" s="8">
        <v>32.869999999999997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idden="1">
      <c r="A43" t="s">
        <v>40</v>
      </c>
      <c r="B43" s="5">
        <v>43430</v>
      </c>
      <c r="C43" s="3">
        <v>87.1</v>
      </c>
      <c r="D43" s="4">
        <v>104</v>
      </c>
      <c r="E43" s="7">
        <v>1818.7199999999998</v>
      </c>
      <c r="F43" s="6">
        <f>PowerProfiling[[#This Row],[IL Peak Power (W)]]/PowerProfiling[[#This Row],[Rider Weight]]</f>
        <v>20.880826636050514</v>
      </c>
      <c r="G43" s="7">
        <f>PowerProfiling[[#This Row],[IL Max Cadence (RPM)]]*0.5</f>
        <v>135</v>
      </c>
      <c r="H43" s="7">
        <v>250.87136318808552</v>
      </c>
      <c r="I43">
        <v>270</v>
      </c>
      <c r="J43">
        <v>30.98</v>
      </c>
      <c r="K43">
        <v>1977</v>
      </c>
      <c r="L43" s="6">
        <f>PowerProfiling[[#This Row],[S500Peak Power]]/PowerProfiling[[#This Row],[Rider Weight]]</f>
        <v>22.698048220436281</v>
      </c>
      <c r="M43" s="6">
        <v>66</v>
      </c>
      <c r="N43">
        <v>1729</v>
      </c>
      <c r="O43">
        <v>1449</v>
      </c>
      <c r="P43">
        <v>1224</v>
      </c>
      <c r="Q43" s="8">
        <f>((PowerProfiling[[#This Row],[S500Peak Power]]-PowerProfiling[[#This Row],[30s MMP]])/PowerProfiling[[#This Row],[S500Peak Power]])*100</f>
        <v>38.088012139605468</v>
      </c>
      <c r="R43">
        <v>78</v>
      </c>
      <c r="S43">
        <v>106.5</v>
      </c>
      <c r="T43">
        <v>129.5</v>
      </c>
      <c r="U43">
        <v>150.5</v>
      </c>
      <c r="V43">
        <v>165.5</v>
      </c>
      <c r="W43">
        <v>178</v>
      </c>
      <c r="X43">
        <v>189.5</v>
      </c>
      <c r="Y43">
        <v>203.5</v>
      </c>
      <c r="Z43">
        <v>1430.5</v>
      </c>
      <c r="AA43">
        <v>1726</v>
      </c>
      <c r="AB43">
        <v>1861</v>
      </c>
      <c r="AC43">
        <v>1814.5</v>
      </c>
      <c r="AD43">
        <v>1749.5</v>
      </c>
      <c r="AE43">
        <v>1646</v>
      </c>
      <c r="AF43">
        <v>1513.5</v>
      </c>
      <c r="AG43">
        <v>1331</v>
      </c>
      <c r="AH43" s="6">
        <f t="shared" ref="AH43:AO44" si="15">Z43/(R43*(PI()/30))</f>
        <v>175.1316508407356</v>
      </c>
      <c r="AI43" s="6">
        <f t="shared" si="15"/>
        <v>154.76137001499234</v>
      </c>
      <c r="AJ43" s="6">
        <f t="shared" si="15"/>
        <v>137.22965981189989</v>
      </c>
      <c r="AK43" s="6">
        <f t="shared" si="15"/>
        <v>115.13088806920031</v>
      </c>
      <c r="AL43" s="6">
        <f t="shared" si="15"/>
        <v>100.94558535562692</v>
      </c>
      <c r="AM43" s="6">
        <f t="shared" si="15"/>
        <v>88.304169549188686</v>
      </c>
      <c r="AN43" s="6">
        <f t="shared" si="15"/>
        <v>76.268392518073966</v>
      </c>
      <c r="AO43" s="6">
        <f t="shared" si="15"/>
        <v>62.457561451197847</v>
      </c>
      <c r="AP43" s="6">
        <v>25.2</v>
      </c>
      <c r="AQ43" s="6">
        <v>994</v>
      </c>
      <c r="AR43" s="6">
        <v>54</v>
      </c>
      <c r="AS43" s="9">
        <v>1.1859999999999999</v>
      </c>
      <c r="AT43" s="8">
        <v>31.12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idden="1">
      <c r="A44" t="s">
        <v>45</v>
      </c>
      <c r="B44" s="5">
        <v>43739</v>
      </c>
      <c r="C44" s="3">
        <v>82.8</v>
      </c>
      <c r="D44" s="4">
        <v>104</v>
      </c>
      <c r="E44" s="4">
        <v>1818</v>
      </c>
      <c r="F44" s="6">
        <f>PowerProfiling[[#This Row],[IL Peak Power (W)]]/PowerProfiling[[#This Row],[Rider Weight]]</f>
        <v>21.956521739130437</v>
      </c>
      <c r="G44" s="7">
        <f>PowerProfiling[[#This Row],[IL Max Cadence (RPM)]]*0.5</f>
        <v>136</v>
      </c>
      <c r="H44" s="7">
        <v>248</v>
      </c>
      <c r="I44">
        <v>272</v>
      </c>
      <c r="J44" s="8">
        <v>32.08</v>
      </c>
      <c r="K44">
        <v>1933</v>
      </c>
      <c r="L44" s="6">
        <f>PowerProfiling[[#This Row],[S500Peak Power]]/PowerProfiling[[#This Row],[Rider Weight]]</f>
        <v>23.345410628019323</v>
      </c>
      <c r="M44" s="6">
        <v>78</v>
      </c>
      <c r="N44">
        <v>1653</v>
      </c>
      <c r="O44">
        <v>1402</v>
      </c>
      <c r="P44">
        <v>1194</v>
      </c>
      <c r="Q44" s="8"/>
      <c r="R44">
        <v>89.5</v>
      </c>
      <c r="S44">
        <v>117</v>
      </c>
      <c r="T44">
        <v>136</v>
      </c>
      <c r="U44">
        <v>150.5</v>
      </c>
      <c r="V44">
        <v>162.5</v>
      </c>
      <c r="W44">
        <v>179.5</v>
      </c>
      <c r="X44">
        <v>193.5</v>
      </c>
      <c r="Y44">
        <v>211</v>
      </c>
      <c r="Z44">
        <v>1519.5</v>
      </c>
      <c r="AA44">
        <v>1756.5</v>
      </c>
      <c r="AB44">
        <v>1894.5</v>
      </c>
      <c r="AC44">
        <v>1816.5</v>
      </c>
      <c r="AD44">
        <v>1810</v>
      </c>
      <c r="AE44">
        <v>1624.5</v>
      </c>
      <c r="AF44">
        <v>1468</v>
      </c>
      <c r="AG44">
        <v>1255</v>
      </c>
      <c r="AH44" s="6">
        <f t="shared" si="15"/>
        <v>162.12464985126368</v>
      </c>
      <c r="AI44" s="6">
        <f t="shared" si="15"/>
        <v>143.36187566200726</v>
      </c>
      <c r="AJ44" s="6">
        <f t="shared" si="15"/>
        <v>133.02310574452753</v>
      </c>
      <c r="AK44" s="6">
        <f t="shared" si="15"/>
        <v>115.25778902050283</v>
      </c>
      <c r="AL44" s="6">
        <f t="shared" si="15"/>
        <v>106.36447273710667</v>
      </c>
      <c r="AM44" s="6">
        <f t="shared" si="15"/>
        <v>86.422464084496042</v>
      </c>
      <c r="AN44" s="6">
        <f t="shared" si="15"/>
        <v>72.446343088031753</v>
      </c>
      <c r="AO44" s="6">
        <f t="shared" si="15"/>
        <v>56.79794888540151</v>
      </c>
      <c r="AP44" s="6">
        <v>22.4</v>
      </c>
      <c r="AQ44" s="6">
        <v>1001.8</v>
      </c>
      <c r="AR44" s="6">
        <v>51.2</v>
      </c>
      <c r="AS44" s="9">
        <v>1.1859999999999999</v>
      </c>
      <c r="AT44" s="8">
        <v>32.01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idden="1">
      <c r="A45" t="s">
        <v>40</v>
      </c>
      <c r="B45" s="5">
        <v>44140</v>
      </c>
      <c r="C45" s="3">
        <v>83.1</v>
      </c>
      <c r="D45" s="7">
        <v>104</v>
      </c>
      <c r="E45" s="4">
        <v>1818</v>
      </c>
      <c r="F45" s="6">
        <f>PowerProfiling[[#This Row],[IL Peak Power (W)]]/PowerProfiling[[#This Row],[Rider Weight]]</f>
        <v>21.877256317689532</v>
      </c>
      <c r="G45" s="7">
        <f>PowerProfiling[[#This Row],[IL Max Cadence (RPM)]]*0.5</f>
        <v>136</v>
      </c>
      <c r="H45" s="7">
        <v>250</v>
      </c>
      <c r="I45">
        <v>272</v>
      </c>
      <c r="K45">
        <v>1816</v>
      </c>
      <c r="L45" s="6">
        <f>PowerProfiling[[#This Row],[S500Peak Power]]/PowerProfiling[[#This Row],[Rider Weight]]</f>
        <v>21.853188929001206</v>
      </c>
      <c r="M45" s="6"/>
      <c r="N45">
        <v>1647</v>
      </c>
      <c r="O45">
        <v>1392</v>
      </c>
      <c r="Q45" s="7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9"/>
      <c r="AT45" s="8"/>
      <c r="AU45">
        <v>1816</v>
      </c>
      <c r="AV45">
        <v>1204</v>
      </c>
      <c r="AW45">
        <v>831</v>
      </c>
      <c r="AX45">
        <v>44</v>
      </c>
      <c r="AY45">
        <v>1800</v>
      </c>
      <c r="AZ45">
        <v>1072</v>
      </c>
      <c r="BA45">
        <v>618</v>
      </c>
      <c r="BB45">
        <v>57</v>
      </c>
      <c r="BC45">
        <v>1688</v>
      </c>
      <c r="BD45">
        <v>924</v>
      </c>
      <c r="BE45">
        <v>476</v>
      </c>
      <c r="BF45">
        <v>64</v>
      </c>
      <c r="BG45" s="6">
        <f>((AU45-BC45)/AU45)*100</f>
        <v>7.0484581497797363</v>
      </c>
      <c r="BH45" s="6">
        <f>((AV45-BD45)/AV45)*100</f>
        <v>23.255813953488371</v>
      </c>
      <c r="BI45" s="6"/>
    </row>
    <row r="46" spans="1:61" hidden="1">
      <c r="A46" t="s">
        <v>40</v>
      </c>
      <c r="B46" s="5">
        <v>44036</v>
      </c>
      <c r="C46" s="6">
        <v>86</v>
      </c>
      <c r="D46" s="7">
        <v>104</v>
      </c>
      <c r="E46" s="7">
        <v>1814</v>
      </c>
      <c r="F46" s="6">
        <f>PowerProfiling[[#This Row],[IL Peak Power (W)]]/PowerProfiling[[#This Row],[Rider Weight]]</f>
        <v>21.093023255813954</v>
      </c>
      <c r="G46" s="7">
        <f>PowerProfiling[[#This Row],[IL Max Cadence (RPM)]]*0.5</f>
        <v>139.5</v>
      </c>
      <c r="H46" s="7">
        <v>247</v>
      </c>
      <c r="I46">
        <v>279</v>
      </c>
      <c r="K46">
        <v>1858</v>
      </c>
      <c r="L46" s="6">
        <f>PowerProfiling[[#This Row],[S500Peak Power]]/PowerProfiling[[#This Row],[Rider Weight]]</f>
        <v>21.604651162790699</v>
      </c>
      <c r="M46" s="6"/>
      <c r="N46">
        <v>1662</v>
      </c>
      <c r="O46">
        <v>1390</v>
      </c>
      <c r="Q46" s="7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9"/>
      <c r="AT46" s="8"/>
      <c r="AU46">
        <v>1858</v>
      </c>
      <c r="AV46">
        <v>1217</v>
      </c>
      <c r="AW46">
        <v>878</v>
      </c>
      <c r="AX46">
        <v>41</v>
      </c>
      <c r="AY46">
        <v>1749</v>
      </c>
      <c r="AZ46">
        <v>1114</v>
      </c>
      <c r="BA46">
        <v>751</v>
      </c>
      <c r="BB46">
        <v>47</v>
      </c>
      <c r="BC46">
        <v>1484</v>
      </c>
      <c r="BD46">
        <v>818</v>
      </c>
      <c r="BE46">
        <v>392</v>
      </c>
      <c r="BF46">
        <v>67</v>
      </c>
      <c r="BG46" s="6">
        <f>((AU46-BC46)/AU46)*100</f>
        <v>20.129171151776106</v>
      </c>
      <c r="BH46" s="6">
        <f>((AV46-BD46)/AV46)*100</f>
        <v>32.785538208709944</v>
      </c>
      <c r="BI46" s="6"/>
    </row>
    <row r="47" spans="1:61" hidden="1">
      <c r="A47" t="s">
        <v>40</v>
      </c>
      <c r="B47" s="5">
        <v>43739</v>
      </c>
      <c r="C47" s="6">
        <v>85.2</v>
      </c>
      <c r="D47" s="7">
        <v>104</v>
      </c>
      <c r="E47" s="7">
        <v>1813</v>
      </c>
      <c r="F47" s="6">
        <f>PowerProfiling[[#This Row],[IL Peak Power (W)]]/PowerProfiling[[#This Row],[Rider Weight]]</f>
        <v>21.279342723004696</v>
      </c>
      <c r="G47" s="7">
        <f>PowerProfiling[[#This Row],[IL Max Cadence (RPM)]]*0.5</f>
        <v>135</v>
      </c>
      <c r="H47" s="7">
        <v>253</v>
      </c>
      <c r="I47">
        <v>270</v>
      </c>
      <c r="J47" s="8">
        <v>31.51</v>
      </c>
      <c r="K47">
        <v>1948</v>
      </c>
      <c r="L47" s="6">
        <f>PowerProfiling[[#This Row],[S500Peak Power]]/PowerProfiling[[#This Row],[Rider Weight]]</f>
        <v>22.863849765258216</v>
      </c>
      <c r="M47" s="6">
        <v>66</v>
      </c>
      <c r="N47">
        <v>1686</v>
      </c>
      <c r="O47">
        <v>1406</v>
      </c>
      <c r="P47">
        <v>1183</v>
      </c>
      <c r="Q47" s="8"/>
      <c r="R47">
        <v>92.5</v>
      </c>
      <c r="S47">
        <v>119.5</v>
      </c>
      <c r="T47">
        <v>137.5</v>
      </c>
      <c r="U47">
        <v>151</v>
      </c>
      <c r="V47">
        <v>162.5</v>
      </c>
      <c r="W47">
        <v>180</v>
      </c>
      <c r="X47">
        <v>196.5</v>
      </c>
      <c r="Y47">
        <v>212.5</v>
      </c>
      <c r="Z47">
        <v>1584</v>
      </c>
      <c r="AA47">
        <v>1795</v>
      </c>
      <c r="AB47">
        <v>1867</v>
      </c>
      <c r="AC47">
        <v>1731</v>
      </c>
      <c r="AD47">
        <v>1803.5</v>
      </c>
      <c r="AE47">
        <v>1615.5</v>
      </c>
      <c r="AF47">
        <v>1423.5</v>
      </c>
      <c r="AG47">
        <v>1219</v>
      </c>
      <c r="AH47" s="6">
        <f t="shared" ref="AH47:AO47" si="16">Z47/(R47*(PI()/30))</f>
        <v>163.52525179949981</v>
      </c>
      <c r="AI47" s="6">
        <f t="shared" si="16"/>
        <v>143.43922486190067</v>
      </c>
      <c r="AJ47" s="6">
        <f t="shared" si="16"/>
        <v>129.66208527384813</v>
      </c>
      <c r="AK47" s="6">
        <f t="shared" si="16"/>
        <v>109.46908867234603</v>
      </c>
      <c r="AL47" s="6">
        <f t="shared" si="16"/>
        <v>105.98250087368612</v>
      </c>
      <c r="AM47" s="6">
        <f t="shared" si="16"/>
        <v>85.704936854985647</v>
      </c>
      <c r="AN47" s="6">
        <f t="shared" si="16"/>
        <v>69.177728699637569</v>
      </c>
      <c r="AO47" s="6">
        <f t="shared" si="16"/>
        <v>54.779259001135181</v>
      </c>
      <c r="AP47" s="6">
        <v>22.4</v>
      </c>
      <c r="AQ47" s="6">
        <v>1001.8</v>
      </c>
      <c r="AR47" s="6">
        <v>51.2</v>
      </c>
      <c r="AS47" s="9">
        <v>1.1859999999999999</v>
      </c>
      <c r="AT47" s="8">
        <v>31.44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>
      <c r="A48" t="s">
        <v>55</v>
      </c>
      <c r="B48" s="5">
        <v>44140</v>
      </c>
      <c r="C48" s="6">
        <v>94.2</v>
      </c>
      <c r="D48" s="7">
        <v>104</v>
      </c>
      <c r="E48" s="7">
        <v>1949</v>
      </c>
      <c r="F48" s="6">
        <f>PowerProfiling[[#This Row],[IL Peak Power (W)]]/PowerProfiling[[#This Row],[Rider Weight]]</f>
        <v>20.690021231422506</v>
      </c>
      <c r="G48" s="7">
        <f>PowerProfiling[[#This Row],[IL Max Cadence (RPM)]]*0.5</f>
        <v>139</v>
      </c>
      <c r="H48" s="7">
        <v>256</v>
      </c>
      <c r="I48">
        <v>278</v>
      </c>
      <c r="K48">
        <v>2012</v>
      </c>
      <c r="L48" s="6">
        <f>PowerProfiling[[#This Row],[S500Peak Power]]/PowerProfiling[[#This Row],[Rider Weight]]</f>
        <v>21.358811040339702</v>
      </c>
      <c r="M48" s="6"/>
      <c r="N48">
        <v>1715</v>
      </c>
      <c r="O48">
        <v>1373</v>
      </c>
      <c r="Q48" s="7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9"/>
      <c r="AT48" s="8"/>
      <c r="AU48">
        <v>2012</v>
      </c>
      <c r="AV48">
        <v>1158</v>
      </c>
      <c r="AW48">
        <v>789</v>
      </c>
      <c r="AX48">
        <v>48</v>
      </c>
      <c r="AY48">
        <v>1901</v>
      </c>
      <c r="AZ48">
        <v>1044</v>
      </c>
      <c r="BA48">
        <v>617</v>
      </c>
      <c r="BB48">
        <v>58</v>
      </c>
      <c r="BC48">
        <v>1765</v>
      </c>
      <c r="BD48">
        <v>927</v>
      </c>
      <c r="BE48">
        <v>539</v>
      </c>
      <c r="BF48">
        <v>61</v>
      </c>
      <c r="BG48" s="6">
        <f>((AU48-BC48)/AU48)*100</f>
        <v>12.276341948310138</v>
      </c>
      <c r="BH48" s="6">
        <f>((AV48-BD48)/AV48)*100</f>
        <v>19.948186528497409</v>
      </c>
      <c r="BI48" s="6"/>
    </row>
    <row r="49" spans="1:61" hidden="1">
      <c r="A49" t="s">
        <v>41</v>
      </c>
      <c r="B49" s="5">
        <v>44204</v>
      </c>
      <c r="C49" s="6">
        <v>91</v>
      </c>
      <c r="D49" s="7">
        <v>104</v>
      </c>
      <c r="E49" s="7">
        <v>1803</v>
      </c>
      <c r="F49" s="6">
        <f>PowerProfiling[[#This Row],[IL Peak Power (W)]]/PowerProfiling[[#This Row],[Rider Weight]]</f>
        <v>19.813186813186814</v>
      </c>
      <c r="G49" s="7">
        <f>PowerProfiling[[#This Row],[IL Max Cadence (RPM)]]*0.5</f>
        <v>129</v>
      </c>
      <c r="H49" s="7">
        <v>257</v>
      </c>
      <c r="I49">
        <v>258</v>
      </c>
      <c r="K49">
        <v>1789</v>
      </c>
      <c r="L49" s="6">
        <f>PowerProfiling[[#This Row],[S500Peak Power]]/PowerProfiling[[#This Row],[Rider Weight]]</f>
        <v>19.659340659340661</v>
      </c>
      <c r="M49" s="6"/>
      <c r="N49">
        <v>1570</v>
      </c>
      <c r="O49">
        <v>1269</v>
      </c>
      <c r="Q49" s="7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9"/>
      <c r="AT49" s="8"/>
      <c r="AU49">
        <v>1789</v>
      </c>
      <c r="AV49">
        <v>1073</v>
      </c>
      <c r="AW49">
        <v>732</v>
      </c>
      <c r="AX49">
        <v>47</v>
      </c>
      <c r="AY49">
        <v>1579</v>
      </c>
      <c r="AZ49">
        <v>923</v>
      </c>
      <c r="BA49">
        <v>539</v>
      </c>
      <c r="BB49">
        <v>57</v>
      </c>
      <c r="BC49">
        <v>1284</v>
      </c>
      <c r="BD49">
        <v>695</v>
      </c>
      <c r="BE49">
        <v>339</v>
      </c>
      <c r="BF49">
        <v>65</v>
      </c>
      <c r="BG49" s="6">
        <f>((AU49-BC49)/AU49)*100</f>
        <v>28.228060368921188</v>
      </c>
      <c r="BH49" s="6">
        <f>((AV49-BD49)/AV49)*100</f>
        <v>35.228331780055917</v>
      </c>
      <c r="BI49" s="6"/>
    </row>
    <row r="50" spans="1:61" hidden="1">
      <c r="A50" t="s">
        <v>48</v>
      </c>
      <c r="B50" s="5">
        <v>43453</v>
      </c>
      <c r="C50" s="6">
        <v>88.3</v>
      </c>
      <c r="D50" s="7">
        <v>104</v>
      </c>
      <c r="E50" s="7">
        <v>1802</v>
      </c>
      <c r="F50" s="6">
        <f>PowerProfiling[[#This Row],[IL Peak Power (W)]]/PowerProfiling[[#This Row],[Rider Weight]]</f>
        <v>20.407701019252549</v>
      </c>
      <c r="G50" s="7">
        <f>PowerProfiling[[#This Row],[IL Max Cadence (RPM)]]*0.5</f>
        <v>139</v>
      </c>
      <c r="H50" s="7">
        <v>242</v>
      </c>
      <c r="I50">
        <v>278</v>
      </c>
      <c r="J50">
        <v>32.090000000000003</v>
      </c>
      <c r="K50">
        <v>1979</v>
      </c>
      <c r="L50" s="6">
        <f>PowerProfiling[[#This Row],[S500Peak Power]]/PowerProfiling[[#This Row],[Rider Weight]]</f>
        <v>22.412231030577576</v>
      </c>
      <c r="M50" s="6">
        <v>74</v>
      </c>
      <c r="N50">
        <v>1730</v>
      </c>
      <c r="O50">
        <v>1461</v>
      </c>
      <c r="P50">
        <v>1247</v>
      </c>
      <c r="Q50" s="8">
        <f>((PowerProfiling[[#This Row],[S500Peak Power]]-PowerProfiling[[#This Row],[30s MMP]])/PowerProfiling[[#This Row],[S500Peak Power]])*100</f>
        <v>36.988377968671045</v>
      </c>
      <c r="R50">
        <v>89.5</v>
      </c>
      <c r="S50">
        <v>116.5</v>
      </c>
      <c r="T50">
        <v>135.5</v>
      </c>
      <c r="U50">
        <v>150</v>
      </c>
      <c r="V50">
        <v>171.5</v>
      </c>
      <c r="W50">
        <v>187</v>
      </c>
      <c r="X50">
        <v>199</v>
      </c>
      <c r="Y50">
        <v>213</v>
      </c>
      <c r="Z50">
        <v>1506.5</v>
      </c>
      <c r="AA50">
        <v>1719.5</v>
      </c>
      <c r="AB50">
        <v>1889.5</v>
      </c>
      <c r="AC50">
        <v>1839</v>
      </c>
      <c r="AD50">
        <v>1779.5</v>
      </c>
      <c r="AE50">
        <v>1652</v>
      </c>
      <c r="AF50">
        <v>1489</v>
      </c>
      <c r="AG50">
        <v>1234</v>
      </c>
      <c r="AH50" s="6">
        <f t="shared" ref="AH50:AO50" si="17">Z50/(R50*(PI()/30))</f>
        <v>160.73760118521139</v>
      </c>
      <c r="AI50" s="6">
        <f t="shared" si="17"/>
        <v>140.94433887374115</v>
      </c>
      <c r="AJ50" s="6">
        <f t="shared" si="17"/>
        <v>133.16159334559541</v>
      </c>
      <c r="AK50" s="6">
        <f t="shared" si="17"/>
        <v>117.07437613839821</v>
      </c>
      <c r="AL50" s="6">
        <f t="shared" si="17"/>
        <v>99.084392267764827</v>
      </c>
      <c r="AM50" s="6">
        <f t="shared" si="17"/>
        <v>84.360630798228158</v>
      </c>
      <c r="AN50" s="6">
        <f t="shared" si="17"/>
        <v>71.451771938843862</v>
      </c>
      <c r="AO50" s="6">
        <f t="shared" si="17"/>
        <v>55.323154866309537</v>
      </c>
      <c r="AP50" s="6">
        <v>28.2</v>
      </c>
      <c r="AQ50" s="6">
        <v>1001</v>
      </c>
      <c r="AR50" s="6">
        <v>52</v>
      </c>
      <c r="AS50" s="9">
        <v>1.149</v>
      </c>
      <c r="AT50" s="8">
        <v>32.270000000000003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idden="1">
      <c r="A51" t="s">
        <v>45</v>
      </c>
      <c r="B51" s="5">
        <v>44509</v>
      </c>
      <c r="C51" s="6">
        <v>80.900000000000006</v>
      </c>
      <c r="D51" s="7">
        <v>104</v>
      </c>
      <c r="E51" s="7">
        <v>1800</v>
      </c>
      <c r="F51" s="6">
        <f>PowerProfiling[[#This Row],[IL Peak Power (W)]]/PowerProfiling[[#This Row],[Rider Weight]]</f>
        <v>22.249690976514213</v>
      </c>
      <c r="G51" s="7">
        <v>125.5</v>
      </c>
      <c r="H51" s="7">
        <v>285.5</v>
      </c>
      <c r="I51" s="7">
        <v>248.5</v>
      </c>
      <c r="J51">
        <v>32.61</v>
      </c>
      <c r="K51">
        <v>1948</v>
      </c>
      <c r="L51" s="6">
        <f>PowerProfiling[[#This Row],[S500Peak Power]]/PowerProfiling[[#This Row],[Rider Weight]]</f>
        <v>24.079110012360939</v>
      </c>
      <c r="M51" s="6">
        <v>88</v>
      </c>
      <c r="N51">
        <v>1647</v>
      </c>
      <c r="O51">
        <v>1332</v>
      </c>
      <c r="P51">
        <v>1122</v>
      </c>
      <c r="Q51" s="7">
        <f>((PowerProfiling[[#This Row],[S500Peak Power]]-PowerProfiling[[#This Row],[30s MMP]])/PowerProfiling[[#This Row],[S500Peak Power]])*100</f>
        <v>42.402464065708415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9"/>
      <c r="AT51" s="8">
        <v>32.61</v>
      </c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>
      <c r="A52" t="s">
        <v>55</v>
      </c>
      <c r="B52" s="5">
        <v>44204</v>
      </c>
      <c r="C52" s="6">
        <v>94.8</v>
      </c>
      <c r="D52" s="7">
        <v>104</v>
      </c>
      <c r="E52" s="7">
        <v>1847</v>
      </c>
      <c r="F52" s="6">
        <f>PowerProfiling[[#This Row],[IL Peak Power (W)]]/PowerProfiling[[#This Row],[Rider Weight]]</f>
        <v>19.483122362869199</v>
      </c>
      <c r="G52" s="7">
        <f>PowerProfiling[[#This Row],[IL Max Cadence (RPM)]]*0.5</f>
        <v>131</v>
      </c>
      <c r="H52" s="7">
        <v>263</v>
      </c>
      <c r="I52">
        <v>262</v>
      </c>
      <c r="K52">
        <v>1918</v>
      </c>
      <c r="L52" s="6">
        <f>PowerProfiling[[#This Row],[S500Peak Power]]/PowerProfiling[[#This Row],[Rider Weight]]</f>
        <v>20.232067510548525</v>
      </c>
      <c r="M52" s="6"/>
      <c r="N52">
        <v>1622</v>
      </c>
      <c r="O52">
        <v>1303</v>
      </c>
      <c r="Q52" s="7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9"/>
      <c r="AT52" s="8"/>
      <c r="AU52">
        <v>1918</v>
      </c>
      <c r="AV52">
        <v>1084</v>
      </c>
      <c r="AW52">
        <v>700</v>
      </c>
      <c r="AX52">
        <v>52</v>
      </c>
      <c r="AY52">
        <v>1867</v>
      </c>
      <c r="AZ52">
        <v>968</v>
      </c>
      <c r="BA52">
        <v>597</v>
      </c>
      <c r="BB52">
        <v>57</v>
      </c>
      <c r="BC52">
        <v>1830</v>
      </c>
      <c r="BD52">
        <v>931</v>
      </c>
      <c r="BE52">
        <v>504</v>
      </c>
      <c r="BF52">
        <v>64</v>
      </c>
      <c r="BG52" s="6">
        <f>((AU52-BC52)/AU52)*100</f>
        <v>4.5881126173096973</v>
      </c>
      <c r="BH52" s="6">
        <f>((AV52-BD52)/AV52)*100</f>
        <v>14.114391143911439</v>
      </c>
      <c r="BI52" s="6"/>
    </row>
    <row r="53" spans="1:61" hidden="1">
      <c r="A53" t="s">
        <v>45</v>
      </c>
      <c r="B53" s="5">
        <v>44621</v>
      </c>
      <c r="C53" s="3">
        <v>81.099999999999994</v>
      </c>
      <c r="D53" s="7">
        <v>104</v>
      </c>
      <c r="E53" s="4">
        <v>1791</v>
      </c>
      <c r="F53" s="6">
        <f>PowerProfiling[[#This Row],[IL Peak Power (W)]]/PowerProfiling[[#This Row],[Rider Weight]]</f>
        <v>22.083847102342787</v>
      </c>
      <c r="G53" s="7">
        <v>123.5</v>
      </c>
      <c r="H53" s="7">
        <v>276.5</v>
      </c>
      <c r="I53">
        <v>248.5</v>
      </c>
      <c r="J53" s="8">
        <v>32.49</v>
      </c>
      <c r="K53">
        <v>1893</v>
      </c>
      <c r="L53" s="6">
        <f>PowerProfiling[[#This Row],[S500Peak Power]]/PowerProfiling[[#This Row],[Rider Weight]]</f>
        <v>23.341553637484587</v>
      </c>
      <c r="M53" s="6">
        <v>83</v>
      </c>
      <c r="N53">
        <v>1600</v>
      </c>
      <c r="O53">
        <v>1327</v>
      </c>
      <c r="P53">
        <v>1130</v>
      </c>
      <c r="Q53" s="7">
        <f>((PowerProfiling[[#This Row],[S500Peak Power]]-PowerProfiling[[#This Row],[30s MMP]])/PowerProfiling[[#This Row],[S500Peak Power]])*100</f>
        <v>40.30639197041733</v>
      </c>
      <c r="AH53" s="6"/>
      <c r="AI53" s="6"/>
      <c r="AJ53" s="6"/>
      <c r="AK53" s="6"/>
      <c r="AL53" s="6"/>
      <c r="AM53" s="6"/>
      <c r="AN53" s="6"/>
      <c r="AO53" s="6"/>
      <c r="AP53" s="6">
        <v>27.4</v>
      </c>
      <c r="AQ53" s="6">
        <v>1015</v>
      </c>
      <c r="AR53" s="6">
        <v>48</v>
      </c>
      <c r="AS53" s="9">
        <v>1.169</v>
      </c>
      <c r="AT53" s="8">
        <v>32.49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idden="1">
      <c r="A54" t="s">
        <v>48</v>
      </c>
      <c r="B54" s="5">
        <v>43472</v>
      </c>
      <c r="C54" s="6">
        <v>88.3</v>
      </c>
      <c r="D54" s="7">
        <v>104</v>
      </c>
      <c r="E54" s="7">
        <v>1791</v>
      </c>
      <c r="F54" s="6">
        <f>PowerProfiling[[#This Row],[IL Peak Power (W)]]/PowerProfiling[[#This Row],[Rider Weight]]</f>
        <v>20.283125707814271</v>
      </c>
      <c r="G54" s="7">
        <f>PowerProfiling[[#This Row],[IL Max Cadence (RPM)]]*0.5</f>
        <v>141</v>
      </c>
      <c r="H54" s="7">
        <v>231</v>
      </c>
      <c r="I54">
        <v>282</v>
      </c>
      <c r="J54" s="8">
        <v>32.64</v>
      </c>
      <c r="K54">
        <v>1846</v>
      </c>
      <c r="L54" s="6">
        <f>PowerProfiling[[#This Row],[S500Peak Power]]/PowerProfiling[[#This Row],[Rider Weight]]</f>
        <v>20.906002265005664</v>
      </c>
      <c r="M54" s="6">
        <v>80</v>
      </c>
      <c r="N54">
        <v>1639</v>
      </c>
      <c r="O54">
        <v>1379</v>
      </c>
      <c r="P54">
        <v>1185</v>
      </c>
      <c r="Q54" s="8">
        <f>((PowerProfiling[[#This Row],[S500Peak Power]]-PowerProfiling[[#This Row],[30s MMP]])/PowerProfiling[[#This Row],[S500Peak Power]])*100</f>
        <v>35.807150595882995</v>
      </c>
      <c r="R54">
        <v>87</v>
      </c>
      <c r="S54">
        <v>115.5</v>
      </c>
      <c r="T54">
        <v>133.5</v>
      </c>
      <c r="U54">
        <v>149</v>
      </c>
      <c r="V54">
        <v>161</v>
      </c>
      <c r="W54">
        <v>175</v>
      </c>
      <c r="X54">
        <v>192.5</v>
      </c>
      <c r="Y54">
        <v>210</v>
      </c>
      <c r="Z54">
        <v>1410.5</v>
      </c>
      <c r="AA54">
        <v>1699.5</v>
      </c>
      <c r="AB54">
        <v>1818</v>
      </c>
      <c r="AC54">
        <v>1850</v>
      </c>
      <c r="AD54">
        <v>1832</v>
      </c>
      <c r="AE54">
        <v>1712.5</v>
      </c>
      <c r="AF54">
        <v>1528.5</v>
      </c>
      <c r="AG54">
        <v>1316</v>
      </c>
      <c r="AH54" s="6">
        <f t="shared" ref="AH54:AO54" si="18">Z54/(R54*(PI()/30))</f>
        <v>154.81934291801267</v>
      </c>
      <c r="AI54" s="6">
        <f t="shared" si="18"/>
        <v>140.51107832970189</v>
      </c>
      <c r="AJ54" s="6">
        <f t="shared" si="18"/>
        <v>130.04210631059135</v>
      </c>
      <c r="AK54" s="6">
        <f t="shared" si="18"/>
        <v>118.56509183355962</v>
      </c>
      <c r="AL54" s="6">
        <f t="shared" si="18"/>
        <v>108.66031891093874</v>
      </c>
      <c r="AM54" s="6">
        <f t="shared" si="18"/>
        <v>93.446688015384268</v>
      </c>
      <c r="AN54" s="6">
        <f t="shared" si="18"/>
        <v>75.823895225754399</v>
      </c>
      <c r="AO54" s="6">
        <f t="shared" si="18"/>
        <v>59.842258602552647</v>
      </c>
      <c r="AP54" s="6">
        <v>27</v>
      </c>
      <c r="AQ54" s="6">
        <v>1011</v>
      </c>
      <c r="AR54" s="6">
        <v>57</v>
      </c>
      <c r="AS54" s="9">
        <v>1.165</v>
      </c>
      <c r="AT54" s="8">
        <v>32.68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idden="1">
      <c r="A55" t="s">
        <v>40</v>
      </c>
      <c r="B55" s="5">
        <v>44204</v>
      </c>
      <c r="C55" s="3">
        <v>83.9</v>
      </c>
      <c r="D55" s="4">
        <v>104</v>
      </c>
      <c r="E55" s="4">
        <v>1788</v>
      </c>
      <c r="F55" s="6">
        <f>PowerProfiling[[#This Row],[IL Peak Power (W)]]/PowerProfiling[[#This Row],[Rider Weight]]</f>
        <v>21.31108462455304</v>
      </c>
      <c r="G55" s="7">
        <f>PowerProfiling[[#This Row],[IL Max Cadence (RPM)]]*0.5</f>
        <v>134.5</v>
      </c>
      <c r="H55" s="7">
        <v>253</v>
      </c>
      <c r="I55">
        <v>269</v>
      </c>
      <c r="K55">
        <v>1833</v>
      </c>
      <c r="L55" s="6">
        <f>PowerProfiling[[#This Row],[S500Peak Power]]/PowerProfiling[[#This Row],[Rider Weight]]</f>
        <v>21.847437425506556</v>
      </c>
      <c r="M55" s="6"/>
      <c r="N55">
        <v>1588</v>
      </c>
      <c r="O55">
        <v>1341</v>
      </c>
      <c r="Q55" s="7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9"/>
      <c r="AT55" s="8"/>
      <c r="AU55">
        <v>1833</v>
      </c>
      <c r="AV55">
        <v>1154</v>
      </c>
      <c r="AW55">
        <v>801</v>
      </c>
      <c r="AX55">
        <v>44</v>
      </c>
      <c r="AY55">
        <v>1811</v>
      </c>
      <c r="AZ55">
        <v>1067</v>
      </c>
      <c r="BA55">
        <v>622</v>
      </c>
      <c r="BB55">
        <v>56</v>
      </c>
      <c r="BC55">
        <v>1741</v>
      </c>
      <c r="BD55">
        <v>925</v>
      </c>
      <c r="BE55">
        <v>392</v>
      </c>
      <c r="BF55">
        <v>72</v>
      </c>
      <c r="BG55" s="6">
        <f t="shared" ref="BG55:BH57" si="19">((AU55-BC55)/AU55)*100</f>
        <v>5.0190943807965089</v>
      </c>
      <c r="BH55" s="6">
        <f t="shared" si="19"/>
        <v>19.844020797227035</v>
      </c>
      <c r="BI55" s="6"/>
    </row>
    <row r="56" spans="1:61">
      <c r="A56" t="s">
        <v>55</v>
      </c>
      <c r="B56" s="5">
        <v>44235</v>
      </c>
      <c r="C56" s="3">
        <v>93</v>
      </c>
      <c r="D56" s="4">
        <v>104</v>
      </c>
      <c r="E56" s="4">
        <v>1752</v>
      </c>
      <c r="F56" s="6">
        <f>PowerProfiling[[#This Row],[IL Peak Power (W)]]/PowerProfiling[[#This Row],[Rider Weight]]</f>
        <v>18.838709677419356</v>
      </c>
      <c r="G56" s="7">
        <f>PowerProfiling[[#This Row],[IL Max Cadence (RPM)]]*0.5</f>
        <v>130</v>
      </c>
      <c r="H56" s="7">
        <v>246</v>
      </c>
      <c r="I56">
        <v>260</v>
      </c>
      <c r="K56">
        <v>1834</v>
      </c>
      <c r="L56" s="6">
        <f>PowerProfiling[[#This Row],[S500Peak Power]]/PowerProfiling[[#This Row],[Rider Weight]]</f>
        <v>19.72043010752688</v>
      </c>
      <c r="M56" s="6"/>
      <c r="N56">
        <v>1588</v>
      </c>
      <c r="O56">
        <v>1264</v>
      </c>
      <c r="Q56" s="7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9"/>
      <c r="AT56" s="8"/>
      <c r="AU56" s="7">
        <v>1834</v>
      </c>
      <c r="AV56" s="7">
        <v>1047</v>
      </c>
      <c r="AW56" s="7">
        <v>660</v>
      </c>
      <c r="AX56" s="7">
        <v>54</v>
      </c>
      <c r="AY56" s="7">
        <v>1812</v>
      </c>
      <c r="AZ56" s="7">
        <v>948</v>
      </c>
      <c r="BA56" s="7">
        <v>519</v>
      </c>
      <c r="BB56" s="7">
        <v>63</v>
      </c>
      <c r="BC56" s="7">
        <v>1712</v>
      </c>
      <c r="BD56" s="7">
        <v>818</v>
      </c>
      <c r="BE56" s="7">
        <v>409</v>
      </c>
      <c r="BF56" s="7">
        <v>69</v>
      </c>
      <c r="BG56" s="6">
        <f t="shared" si="19"/>
        <v>6.6521264994547442</v>
      </c>
      <c r="BH56" s="6">
        <f t="shared" si="19"/>
        <v>21.872015281757403</v>
      </c>
      <c r="BI56" s="6"/>
    </row>
    <row r="57" spans="1:61" hidden="1">
      <c r="A57" t="s">
        <v>48</v>
      </c>
      <c r="B57" s="5">
        <v>44036</v>
      </c>
      <c r="C57" s="6">
        <v>92.8</v>
      </c>
      <c r="D57" s="7">
        <v>104</v>
      </c>
      <c r="E57" s="7">
        <v>1786</v>
      </c>
      <c r="F57" s="6">
        <f>PowerProfiling[[#This Row],[IL Peak Power (W)]]/PowerProfiling[[#This Row],[Rider Weight]]</f>
        <v>19.245689655172413</v>
      </c>
      <c r="G57" s="7">
        <f>PowerProfiling[[#This Row],[IL Max Cadence (RPM)]]*0.5</f>
        <v>133</v>
      </c>
      <c r="H57" s="7">
        <v>251</v>
      </c>
      <c r="I57">
        <v>266</v>
      </c>
      <c r="K57">
        <v>1860</v>
      </c>
      <c r="L57" s="6">
        <f>PowerProfiling[[#This Row],[S500Peak Power]]/PowerProfiling[[#This Row],[Rider Weight]]</f>
        <v>20.043103448275861</v>
      </c>
      <c r="M57" s="6"/>
      <c r="N57">
        <v>1635</v>
      </c>
      <c r="O57">
        <v>1349</v>
      </c>
      <c r="Q57" s="7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9"/>
      <c r="AT57" s="8"/>
      <c r="AU57">
        <v>1860</v>
      </c>
      <c r="AV57">
        <v>1165</v>
      </c>
      <c r="AW57">
        <v>804</v>
      </c>
      <c r="AX57">
        <v>47</v>
      </c>
      <c r="AY57">
        <v>1835</v>
      </c>
      <c r="AZ57">
        <v>1111</v>
      </c>
      <c r="BA57">
        <v>760</v>
      </c>
      <c r="BB57">
        <v>48</v>
      </c>
      <c r="BC57">
        <v>1599</v>
      </c>
      <c r="BD57">
        <v>959</v>
      </c>
      <c r="BE57">
        <v>579</v>
      </c>
      <c r="BF57">
        <v>57</v>
      </c>
      <c r="BG57" s="6">
        <f t="shared" si="19"/>
        <v>14.032258064516128</v>
      </c>
      <c r="BH57" s="6">
        <f t="shared" si="19"/>
        <v>17.682403433476395</v>
      </c>
      <c r="BI57" s="6"/>
    </row>
    <row r="58" spans="1:61">
      <c r="A58" t="s">
        <v>55</v>
      </c>
      <c r="B58" s="5">
        <v>44348</v>
      </c>
      <c r="C58" s="3">
        <v>89.7</v>
      </c>
      <c r="D58" s="4"/>
      <c r="E58" s="4">
        <v>1787</v>
      </c>
      <c r="F58" s="6">
        <f>PowerProfiling[[#This Row],[IL Peak Power (W)]]/PowerProfiling[[#This Row],[Rider Weight]]</f>
        <v>19.921962095875138</v>
      </c>
      <c r="G58" s="7">
        <v>120</v>
      </c>
      <c r="H58" s="7">
        <v>291.5</v>
      </c>
      <c r="I58" s="7">
        <v>239.5</v>
      </c>
      <c r="L58" s="6"/>
      <c r="M58" s="6"/>
      <c r="Q58" s="7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9"/>
      <c r="AT58" s="8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idden="1">
      <c r="A59" t="s">
        <v>45</v>
      </c>
      <c r="B59" s="5">
        <v>43472</v>
      </c>
      <c r="C59" s="3">
        <v>78.900000000000006</v>
      </c>
      <c r="D59" s="4">
        <v>104</v>
      </c>
      <c r="E59" s="4">
        <v>1781</v>
      </c>
      <c r="F59" s="6">
        <f>PowerProfiling[[#This Row],[IL Peak Power (W)]]/PowerProfiling[[#This Row],[Rider Weight]]</f>
        <v>22.572877059569073</v>
      </c>
      <c r="G59" s="7">
        <f>PowerProfiling[[#This Row],[IL Max Cadence (RPM)]]*0.5</f>
        <v>142.5</v>
      </c>
      <c r="H59" s="7">
        <v>233</v>
      </c>
      <c r="I59">
        <v>285</v>
      </c>
      <c r="J59">
        <v>32.64</v>
      </c>
      <c r="K59">
        <v>1758</v>
      </c>
      <c r="L59" s="6">
        <f>PowerProfiling[[#This Row],[S500Peak Power]]/PowerProfiling[[#This Row],[Rider Weight]]</f>
        <v>22.281368821292773</v>
      </c>
      <c r="M59" s="6">
        <v>79</v>
      </c>
      <c r="N59">
        <v>1495</v>
      </c>
      <c r="O59">
        <v>1279</v>
      </c>
      <c r="P59">
        <v>1100</v>
      </c>
      <c r="Q59" s="8">
        <f>((PowerProfiling[[#This Row],[S500Peak Power]]-PowerProfiling[[#This Row],[30s MMP]])/PowerProfiling[[#This Row],[S500Peak Power]])*100</f>
        <v>37.42889647326507</v>
      </c>
      <c r="R59">
        <v>91</v>
      </c>
      <c r="S59">
        <v>116.5</v>
      </c>
      <c r="T59">
        <v>135.5</v>
      </c>
      <c r="U59">
        <v>149.5</v>
      </c>
      <c r="V59">
        <v>165.5</v>
      </c>
      <c r="W59">
        <v>189.5</v>
      </c>
      <c r="X59">
        <v>202.5</v>
      </c>
      <c r="Y59">
        <v>212</v>
      </c>
      <c r="Z59">
        <v>1457.5</v>
      </c>
      <c r="AA59">
        <v>1744</v>
      </c>
      <c r="AB59">
        <v>1845</v>
      </c>
      <c r="AC59">
        <v>1786.5</v>
      </c>
      <c r="AD59">
        <v>1723</v>
      </c>
      <c r="AE59">
        <v>1588.5</v>
      </c>
      <c r="AF59">
        <v>1456.5</v>
      </c>
      <c r="AG59">
        <v>1358.5</v>
      </c>
      <c r="AH59" s="6">
        <f t="shared" ref="AH59:AO60" si="20">Z59/(R59*(PI()/30))</f>
        <v>152.94615135589285</v>
      </c>
      <c r="AI59" s="6">
        <f t="shared" si="20"/>
        <v>142.95256004408523</v>
      </c>
      <c r="AJ59" s="6">
        <f t="shared" si="20"/>
        <v>130.0254774927883</v>
      </c>
      <c r="AK59" s="6">
        <f t="shared" si="20"/>
        <v>114.11249732455025</v>
      </c>
      <c r="AL59" s="6">
        <f t="shared" si="20"/>
        <v>99.416543908399646</v>
      </c>
      <c r="AM59" s="6">
        <f t="shared" si="20"/>
        <v>80.047797499148004</v>
      </c>
      <c r="AN59" s="6">
        <f t="shared" si="20"/>
        <v>68.684199885435731</v>
      </c>
      <c r="AO59" s="6">
        <f t="shared" si="20"/>
        <v>61.192072695379203</v>
      </c>
      <c r="AP59" s="6">
        <v>27</v>
      </c>
      <c r="AQ59" s="6">
        <v>1011</v>
      </c>
      <c r="AR59" s="6">
        <v>57</v>
      </c>
      <c r="AS59" s="9">
        <v>1.165</v>
      </c>
      <c r="AT59" s="8">
        <v>32.68</v>
      </c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idden="1">
      <c r="A60" t="s">
        <v>41</v>
      </c>
      <c r="B60" s="5">
        <v>43739</v>
      </c>
      <c r="C60" s="6">
        <v>86.9</v>
      </c>
      <c r="D60" s="7">
        <v>104</v>
      </c>
      <c r="E60" s="7">
        <v>1779</v>
      </c>
      <c r="F60" s="6">
        <f>PowerProfiling[[#This Row],[IL Peak Power (W)]]/PowerProfiling[[#This Row],[Rider Weight]]</f>
        <v>20.471806674338318</v>
      </c>
      <c r="G60" s="7">
        <f>PowerProfiling[[#This Row],[IL Max Cadence (RPM)]]*0.5</f>
        <v>132.5</v>
      </c>
      <c r="H60" s="7">
        <v>247</v>
      </c>
      <c r="I60">
        <v>265</v>
      </c>
      <c r="J60" s="8">
        <v>32.130000000000003</v>
      </c>
      <c r="K60">
        <v>1870</v>
      </c>
      <c r="L60" s="6">
        <f>PowerProfiling[[#This Row],[S500Peak Power]]/PowerProfiling[[#This Row],[Rider Weight]]</f>
        <v>21.518987341772149</v>
      </c>
      <c r="M60" s="6">
        <v>98</v>
      </c>
      <c r="N60">
        <v>1671</v>
      </c>
      <c r="O60">
        <v>1380</v>
      </c>
      <c r="P60">
        <v>1166</v>
      </c>
      <c r="Q60" s="8"/>
      <c r="R60">
        <v>93.5</v>
      </c>
      <c r="S60">
        <v>119</v>
      </c>
      <c r="T60">
        <v>136.5</v>
      </c>
      <c r="U60">
        <v>150.5</v>
      </c>
      <c r="V60">
        <v>162</v>
      </c>
      <c r="W60">
        <v>179</v>
      </c>
      <c r="X60">
        <v>192</v>
      </c>
      <c r="Y60">
        <v>210</v>
      </c>
      <c r="Z60">
        <v>1533</v>
      </c>
      <c r="AA60">
        <v>1710</v>
      </c>
      <c r="AB60">
        <v>1835</v>
      </c>
      <c r="AC60">
        <v>1769</v>
      </c>
      <c r="AD60">
        <v>1753</v>
      </c>
      <c r="AE60">
        <v>1615.5</v>
      </c>
      <c r="AF60">
        <v>1441.5</v>
      </c>
      <c r="AG60">
        <v>1098</v>
      </c>
      <c r="AH60" s="6">
        <f t="shared" si="20"/>
        <v>156.56761139671158</v>
      </c>
      <c r="AI60" s="6">
        <f t="shared" si="20"/>
        <v>137.22098454813835</v>
      </c>
      <c r="AJ60" s="6">
        <f t="shared" si="20"/>
        <v>128.37332772467164</v>
      </c>
      <c r="AK60" s="6">
        <f t="shared" si="20"/>
        <v>112.24389142706826</v>
      </c>
      <c r="AL60" s="6">
        <f t="shared" si="20"/>
        <v>103.33282045929353</v>
      </c>
      <c r="AM60" s="6">
        <f t="shared" si="20"/>
        <v>86.183735384901766</v>
      </c>
      <c r="AN60" s="6">
        <f t="shared" si="20"/>
        <v>71.69432827092723</v>
      </c>
      <c r="AO60" s="6">
        <f t="shared" si="20"/>
        <v>49.929179289971742</v>
      </c>
      <c r="AP60" s="6">
        <v>22.4</v>
      </c>
      <c r="AQ60" s="6">
        <v>1001.8</v>
      </c>
      <c r="AR60" s="6">
        <v>51.2</v>
      </c>
      <c r="AS60" s="9">
        <v>1.1859999999999999</v>
      </c>
      <c r="AT60" s="8">
        <v>32.06</v>
      </c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idden="1">
      <c r="A61" t="s">
        <v>40</v>
      </c>
      <c r="B61" s="5">
        <v>44235</v>
      </c>
      <c r="C61" s="6">
        <v>82.8</v>
      </c>
      <c r="D61" s="7">
        <v>104</v>
      </c>
      <c r="E61" s="7">
        <v>1775</v>
      </c>
      <c r="F61" s="6">
        <f>PowerProfiling[[#This Row],[IL Peak Power (W)]]/PowerProfiling[[#This Row],[Rider Weight]]</f>
        <v>21.437198067632853</v>
      </c>
      <c r="G61" s="7">
        <f>PowerProfiling[[#This Row],[IL Max Cadence (RPM)]]*0.5</f>
        <v>140.5</v>
      </c>
      <c r="H61" s="7">
        <v>239</v>
      </c>
      <c r="I61">
        <v>281</v>
      </c>
      <c r="K61">
        <v>1874</v>
      </c>
      <c r="L61" s="6">
        <f>PowerProfiling[[#This Row],[S500Peak Power]]/PowerProfiling[[#This Row],[Rider Weight]]</f>
        <v>22.632850241545896</v>
      </c>
      <c r="M61" s="6"/>
      <c r="N61">
        <v>1640</v>
      </c>
      <c r="O61">
        <v>1383</v>
      </c>
      <c r="Q61" s="7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9"/>
      <c r="AT61" s="8"/>
      <c r="AU61" s="7">
        <v>1874</v>
      </c>
      <c r="AV61" s="7">
        <v>1206</v>
      </c>
      <c r="AW61" s="7">
        <v>850</v>
      </c>
      <c r="AX61" s="7">
        <v>43</v>
      </c>
      <c r="AY61" s="7">
        <v>1723</v>
      </c>
      <c r="AZ61" s="7">
        <v>1056</v>
      </c>
      <c r="BA61" s="7">
        <v>619</v>
      </c>
      <c r="BB61" s="7">
        <v>57</v>
      </c>
      <c r="BC61" s="7">
        <v>1625</v>
      </c>
      <c r="BD61" s="7">
        <v>873</v>
      </c>
      <c r="BE61" s="7">
        <v>463</v>
      </c>
      <c r="BF61" s="7">
        <v>64</v>
      </c>
      <c r="BG61" s="6">
        <f>((AU61-BC61)/AU61)*100</f>
        <v>13.28708644610459</v>
      </c>
      <c r="BH61" s="6">
        <f>((AV61-BD61)/AV61)*100</f>
        <v>27.611940298507463</v>
      </c>
      <c r="BI61" s="6"/>
    </row>
    <row r="62" spans="1:61" hidden="1">
      <c r="A62" t="s">
        <v>40</v>
      </c>
      <c r="B62" s="5">
        <v>43563</v>
      </c>
      <c r="C62" s="6">
        <v>86.3</v>
      </c>
      <c r="D62" s="7">
        <v>104</v>
      </c>
      <c r="E62" s="7">
        <v>1775</v>
      </c>
      <c r="F62" s="6">
        <f>PowerProfiling[[#This Row],[IL Peak Power (W)]]/PowerProfiling[[#This Row],[Rider Weight]]</f>
        <v>20.567786790266513</v>
      </c>
      <c r="G62" s="7">
        <f>PowerProfiling[[#This Row],[IL Max Cadence (RPM)]]*0.5</f>
        <v>135</v>
      </c>
      <c r="H62" s="7">
        <v>249</v>
      </c>
      <c r="I62">
        <v>270</v>
      </c>
      <c r="J62" s="8">
        <v>31.46</v>
      </c>
      <c r="K62">
        <v>1928</v>
      </c>
      <c r="L62" s="6">
        <f>PowerProfiling[[#This Row],[S500Peak Power]]/PowerProfiling[[#This Row],[Rider Weight]]</f>
        <v>22.340672074159908</v>
      </c>
      <c r="M62" s="6">
        <v>58</v>
      </c>
      <c r="N62">
        <v>1707</v>
      </c>
      <c r="O62">
        <v>1435</v>
      </c>
      <c r="P62">
        <v>1206</v>
      </c>
      <c r="Q62" s="8">
        <f>((PowerProfiling[[#This Row],[S500Peak Power]]-PowerProfiling[[#This Row],[30s MMP]])/PowerProfiling[[#This Row],[S500Peak Power]])*100</f>
        <v>37.448132780082986</v>
      </c>
      <c r="R62">
        <v>93.5</v>
      </c>
      <c r="S62">
        <v>119.5</v>
      </c>
      <c r="T62">
        <v>137</v>
      </c>
      <c r="U62">
        <v>156</v>
      </c>
      <c r="V62">
        <v>178</v>
      </c>
      <c r="W62">
        <v>191.5</v>
      </c>
      <c r="X62">
        <v>202</v>
      </c>
      <c r="Y62">
        <v>210.5</v>
      </c>
      <c r="Z62">
        <v>1580.5</v>
      </c>
      <c r="AA62">
        <v>1751</v>
      </c>
      <c r="AB62">
        <v>1816</v>
      </c>
      <c r="AC62">
        <v>1729</v>
      </c>
      <c r="AD62">
        <v>1574</v>
      </c>
      <c r="AE62">
        <v>1467</v>
      </c>
      <c r="AF62">
        <v>1339.5</v>
      </c>
      <c r="AG62">
        <v>1228</v>
      </c>
      <c r="AH62" s="6">
        <f t="shared" ref="AH62:AO64" si="21">Z62/(R62*(PI()/30))</f>
        <v>161.41885832518113</v>
      </c>
      <c r="AI62" s="6">
        <f t="shared" si="21"/>
        <v>139.92316586807135</v>
      </c>
      <c r="AJ62" s="6">
        <f t="shared" si="21"/>
        <v>126.58045692914538</v>
      </c>
      <c r="AK62" s="6">
        <f t="shared" si="21"/>
        <v>105.8380371561104</v>
      </c>
      <c r="AL62" s="6">
        <f t="shared" si="21"/>
        <v>84.441532728082009</v>
      </c>
      <c r="AM62" s="6">
        <f t="shared" si="21"/>
        <v>73.153097080671685</v>
      </c>
      <c r="AN62" s="6">
        <f t="shared" si="21"/>
        <v>63.323182060869449</v>
      </c>
      <c r="AO62" s="6">
        <f t="shared" si="21"/>
        <v>55.70801048461211</v>
      </c>
      <c r="AP62" s="6">
        <v>25.3</v>
      </c>
      <c r="AQ62" s="6">
        <v>1008</v>
      </c>
      <c r="AR62" s="6">
        <v>42</v>
      </c>
      <c r="AS62" s="9">
        <v>1.171</v>
      </c>
      <c r="AT62" s="8">
        <v>31.44</v>
      </c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idden="1">
      <c r="A63" t="s">
        <v>45</v>
      </c>
      <c r="B63" s="5">
        <v>43690</v>
      </c>
      <c r="C63" s="6">
        <v>78.3</v>
      </c>
      <c r="D63" s="7">
        <v>104</v>
      </c>
      <c r="E63" s="7">
        <v>1773</v>
      </c>
      <c r="F63" s="6">
        <f>PowerProfiling[[#This Row],[IL Peak Power (W)]]/PowerProfiling[[#This Row],[Rider Weight]]</f>
        <v>22.643678160919542</v>
      </c>
      <c r="G63" s="7">
        <f>PowerProfiling[[#This Row],[IL Max Cadence (RPM)]]*0.5</f>
        <v>135</v>
      </c>
      <c r="H63" s="7">
        <v>243</v>
      </c>
      <c r="I63">
        <v>270</v>
      </c>
      <c r="J63">
        <v>32.35</v>
      </c>
      <c r="K63">
        <v>1835</v>
      </c>
      <c r="L63" s="6">
        <f>PowerProfiling[[#This Row],[S500Peak Power]]/PowerProfiling[[#This Row],[Rider Weight]]</f>
        <v>23.435504469987229</v>
      </c>
      <c r="M63" s="6">
        <v>62</v>
      </c>
      <c r="N63">
        <v>1550</v>
      </c>
      <c r="O63">
        <v>1321</v>
      </c>
      <c r="P63">
        <v>1124</v>
      </c>
      <c r="Q63" s="8"/>
      <c r="R63">
        <v>87</v>
      </c>
      <c r="S63">
        <v>115.5</v>
      </c>
      <c r="T63">
        <v>134.5</v>
      </c>
      <c r="U63">
        <v>149</v>
      </c>
      <c r="V63">
        <v>161</v>
      </c>
      <c r="W63">
        <v>179</v>
      </c>
      <c r="X63">
        <v>206</v>
      </c>
      <c r="Y63">
        <v>213</v>
      </c>
      <c r="Z63">
        <v>1430</v>
      </c>
      <c r="AA63">
        <v>1744.5</v>
      </c>
      <c r="AB63">
        <v>1854</v>
      </c>
      <c r="AC63">
        <v>1790</v>
      </c>
      <c r="AD63">
        <v>1737</v>
      </c>
      <c r="AE63">
        <v>1550.5</v>
      </c>
      <c r="AF63">
        <v>1251</v>
      </c>
      <c r="AG63">
        <v>1174.5</v>
      </c>
      <c r="AH63" s="6">
        <f t="shared" si="21"/>
        <v>156.95970249752438</v>
      </c>
      <c r="AI63" s="6">
        <f t="shared" si="21"/>
        <v>144.23158349288906</v>
      </c>
      <c r="AJ63" s="6">
        <f t="shared" si="21"/>
        <v>131.63119605607761</v>
      </c>
      <c r="AK63" s="6">
        <f t="shared" si="21"/>
        <v>114.71973750382256</v>
      </c>
      <c r="AL63" s="6">
        <f t="shared" si="21"/>
        <v>103.02564080147413</v>
      </c>
      <c r="AM63" s="6">
        <f t="shared" si="21"/>
        <v>82.716113719771087</v>
      </c>
      <c r="AN63" s="6">
        <f t="shared" si="21"/>
        <v>57.991116643095467</v>
      </c>
      <c r="AO63" s="6">
        <f t="shared" si="21"/>
        <v>52.655628355332702</v>
      </c>
      <c r="AP63" s="6">
        <v>22.6</v>
      </c>
      <c r="AQ63" s="6">
        <v>997</v>
      </c>
      <c r="AR63" s="6">
        <v>48</v>
      </c>
      <c r="AS63" s="9">
        <v>1.169</v>
      </c>
      <c r="AT63" s="8">
        <v>32.35</v>
      </c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idden="1">
      <c r="A64" t="s">
        <v>48</v>
      </c>
      <c r="B64" s="5">
        <v>43739</v>
      </c>
      <c r="C64" s="6">
        <v>93.5</v>
      </c>
      <c r="D64" s="7">
        <v>104</v>
      </c>
      <c r="E64" s="7">
        <v>1773</v>
      </c>
      <c r="F64" s="6">
        <f>PowerProfiling[[#This Row],[IL Peak Power (W)]]/PowerProfiling[[#This Row],[Rider Weight]]</f>
        <v>18.962566844919785</v>
      </c>
      <c r="G64" s="7">
        <f>PowerProfiling[[#This Row],[IL Max Cadence (RPM)]]*0.5</f>
        <v>138</v>
      </c>
      <c r="H64" s="7">
        <v>235</v>
      </c>
      <c r="I64">
        <v>276</v>
      </c>
      <c r="J64" s="8">
        <v>32.200000000000003</v>
      </c>
      <c r="K64">
        <v>1857</v>
      </c>
      <c r="L64" s="6">
        <f>PowerProfiling[[#This Row],[S500Peak Power]]/PowerProfiling[[#This Row],[Rider Weight]]</f>
        <v>19.860962566844918</v>
      </c>
      <c r="M64" s="6">
        <v>74</v>
      </c>
      <c r="N64">
        <v>1647</v>
      </c>
      <c r="O64">
        <v>1382</v>
      </c>
      <c r="P64">
        <v>1163</v>
      </c>
      <c r="Q64" s="8"/>
      <c r="R64">
        <v>86</v>
      </c>
      <c r="S64">
        <v>114</v>
      </c>
      <c r="T64">
        <v>132.5</v>
      </c>
      <c r="U64">
        <v>147.5</v>
      </c>
      <c r="V64">
        <v>159.5</v>
      </c>
      <c r="W64">
        <v>178</v>
      </c>
      <c r="X64">
        <v>192.5</v>
      </c>
      <c r="Y64">
        <v>212.5</v>
      </c>
      <c r="Z64">
        <v>1415</v>
      </c>
      <c r="AA64">
        <v>1685</v>
      </c>
      <c r="AB64">
        <v>1792</v>
      </c>
      <c r="AC64">
        <v>1812.5</v>
      </c>
      <c r="AD64">
        <v>1787.5</v>
      </c>
      <c r="AE64">
        <v>1664</v>
      </c>
      <c r="AF64">
        <v>1524.5</v>
      </c>
      <c r="AG64">
        <v>1175</v>
      </c>
      <c r="AH64" s="6">
        <f t="shared" si="21"/>
        <v>157.11924033141761</v>
      </c>
      <c r="AI64" s="6">
        <f t="shared" si="21"/>
        <v>141.14530479465455</v>
      </c>
      <c r="AJ64" s="6">
        <f t="shared" si="21"/>
        <v>129.14973193389125</v>
      </c>
      <c r="AK64" s="6">
        <f t="shared" si="21"/>
        <v>117.34305126266861</v>
      </c>
      <c r="AL64" s="6">
        <f t="shared" si="21"/>
        <v>107.01797897558481</v>
      </c>
      <c r="AM64" s="6">
        <f t="shared" si="21"/>
        <v>89.269828754465351</v>
      </c>
      <c r="AN64" s="6">
        <f t="shared" si="21"/>
        <v>75.625468283717751</v>
      </c>
      <c r="AO64" s="6">
        <f t="shared" si="21"/>
        <v>52.801992884605284</v>
      </c>
      <c r="AP64" s="6">
        <v>22.4</v>
      </c>
      <c r="AQ64" s="6">
        <v>1001.8</v>
      </c>
      <c r="AR64" s="6">
        <v>51.2</v>
      </c>
      <c r="AS64" s="9">
        <v>1.1859999999999999</v>
      </c>
      <c r="AT64" s="8">
        <v>32.130000000000003</v>
      </c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idden="1">
      <c r="A65" t="s">
        <v>48</v>
      </c>
      <c r="B65" s="5">
        <v>44348</v>
      </c>
      <c r="C65" s="6">
        <v>93.9</v>
      </c>
      <c r="D65" s="7"/>
      <c r="E65" s="7">
        <v>1771.5</v>
      </c>
      <c r="F65" s="6">
        <f>PowerProfiling[[#This Row],[IL Peak Power (W)]]/PowerProfiling[[#This Row],[Rider Weight]]</f>
        <v>18.865814696485621</v>
      </c>
      <c r="G65" s="7">
        <v>128.5</v>
      </c>
      <c r="H65" s="7">
        <v>274.5</v>
      </c>
      <c r="I65" s="7">
        <v>254.5</v>
      </c>
      <c r="L65" s="6"/>
      <c r="M65" s="6"/>
      <c r="Q65" s="7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9"/>
      <c r="AT65" s="8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idden="1">
      <c r="A66" t="s">
        <v>40</v>
      </c>
      <c r="B66" s="5">
        <v>44097</v>
      </c>
      <c r="C66" s="3">
        <v>83.3</v>
      </c>
      <c r="D66" s="4">
        <v>104</v>
      </c>
      <c r="E66" s="4">
        <v>1760</v>
      </c>
      <c r="F66" s="6">
        <f>PowerProfiling[[#This Row],[IL Peak Power (W)]]/PowerProfiling[[#This Row],[Rider Weight]]</f>
        <v>21.128451380552221</v>
      </c>
      <c r="G66" s="7">
        <f>PowerProfiling[[#This Row],[IL Max Cadence (RPM)]]*0.5</f>
        <v>139</v>
      </c>
      <c r="H66" s="7">
        <v>236</v>
      </c>
      <c r="I66">
        <v>278</v>
      </c>
      <c r="K66">
        <v>1863</v>
      </c>
      <c r="L66" s="6">
        <f>PowerProfiling[[#This Row],[S500Peak Power]]/PowerProfiling[[#This Row],[Rider Weight]]</f>
        <v>22.364945978391358</v>
      </c>
      <c r="M66" s="6"/>
      <c r="N66">
        <v>1627</v>
      </c>
      <c r="O66">
        <v>1359</v>
      </c>
      <c r="Q66" s="7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9"/>
      <c r="AT66" s="8"/>
      <c r="AU66">
        <v>1863</v>
      </c>
      <c r="AV66">
        <v>1176</v>
      </c>
      <c r="AW66">
        <v>818</v>
      </c>
      <c r="AX66">
        <v>44</v>
      </c>
      <c r="AY66">
        <v>1746</v>
      </c>
      <c r="AZ66">
        <v>1019</v>
      </c>
      <c r="BA66">
        <v>601</v>
      </c>
      <c r="BB66">
        <v>57</v>
      </c>
      <c r="BC66">
        <v>1584</v>
      </c>
      <c r="BD66">
        <v>823</v>
      </c>
      <c r="BE66">
        <v>387</v>
      </c>
      <c r="BF66">
        <v>69</v>
      </c>
      <c r="BG66" s="6">
        <f>((AU66-BC66)/AU66)*100</f>
        <v>14.975845410628018</v>
      </c>
      <c r="BH66" s="6">
        <f>((AV66-BD66)/AV66)*100</f>
        <v>30.017006802721085</v>
      </c>
      <c r="BI66" s="6"/>
    </row>
    <row r="67" spans="1:61" hidden="1">
      <c r="A67" t="s">
        <v>48</v>
      </c>
      <c r="B67" s="5">
        <v>43563</v>
      </c>
      <c r="C67" s="6">
        <v>88.5</v>
      </c>
      <c r="D67" s="7">
        <v>104</v>
      </c>
      <c r="E67" s="7">
        <v>1760</v>
      </c>
      <c r="F67" s="6">
        <f>PowerProfiling[[#This Row],[IL Peak Power (W)]]/PowerProfiling[[#This Row],[Rider Weight]]</f>
        <v>19.887005649717516</v>
      </c>
      <c r="G67" s="7">
        <f>PowerProfiling[[#This Row],[IL Max Cadence (RPM)]]*0.5</f>
        <v>137.5</v>
      </c>
      <c r="H67" s="7">
        <v>233</v>
      </c>
      <c r="I67">
        <v>275</v>
      </c>
      <c r="J67" s="8">
        <v>32.64</v>
      </c>
      <c r="K67">
        <v>1792</v>
      </c>
      <c r="L67" s="6">
        <f>PowerProfiling[[#This Row],[S500Peak Power]]/PowerProfiling[[#This Row],[Rider Weight]]</f>
        <v>20.248587570621471</v>
      </c>
      <c r="M67" s="6">
        <v>58</v>
      </c>
      <c r="N67">
        <v>1605</v>
      </c>
      <c r="O67">
        <v>1343</v>
      </c>
      <c r="P67">
        <v>1146</v>
      </c>
      <c r="Q67" s="8">
        <f>((PowerProfiling[[#This Row],[S500Peak Power]]-PowerProfiling[[#This Row],[30s MMP]])/PowerProfiling[[#This Row],[S500Peak Power]])*100</f>
        <v>36.049107142857146</v>
      </c>
      <c r="R67">
        <v>85</v>
      </c>
      <c r="S67">
        <v>113.5</v>
      </c>
      <c r="T67">
        <v>132</v>
      </c>
      <c r="U67">
        <v>147</v>
      </c>
      <c r="V67">
        <v>164</v>
      </c>
      <c r="W67">
        <v>177.5</v>
      </c>
      <c r="X67">
        <v>203</v>
      </c>
      <c r="Y67">
        <v>212</v>
      </c>
      <c r="Z67">
        <v>1381</v>
      </c>
      <c r="AA67">
        <v>1663.5</v>
      </c>
      <c r="AB67">
        <v>1781</v>
      </c>
      <c r="AC67">
        <v>1827.5</v>
      </c>
      <c r="AD67">
        <v>1790.5</v>
      </c>
      <c r="AE67">
        <v>1626</v>
      </c>
      <c r="AF67">
        <v>1335.5</v>
      </c>
      <c r="AG67">
        <v>1206</v>
      </c>
      <c r="AH67" s="6">
        <f t="shared" ref="AH67:AO68" si="22">Z67/(R67*(PI()/30))</f>
        <v>155.14798334816999</v>
      </c>
      <c r="AI67" s="6">
        <f t="shared" si="22"/>
        <v>139.95819268724296</v>
      </c>
      <c r="AJ67" s="6">
        <f t="shared" si="22"/>
        <v>128.84316074848437</v>
      </c>
      <c r="AK67" s="6">
        <f t="shared" si="22"/>
        <v>118.71659530630153</v>
      </c>
      <c r="AL67" s="6">
        <f t="shared" si="22"/>
        <v>104.25619229489219</v>
      </c>
      <c r="AM67" s="6">
        <f t="shared" si="22"/>
        <v>87.476936608705969</v>
      </c>
      <c r="AN67" s="6">
        <f t="shared" si="22"/>
        <v>62.823081723909233</v>
      </c>
      <c r="AO67" s="6">
        <f t="shared" si="22"/>
        <v>54.322885293063905</v>
      </c>
      <c r="AP67" s="6">
        <v>25.3</v>
      </c>
      <c r="AQ67" s="6">
        <v>1008</v>
      </c>
      <c r="AR67" s="6">
        <v>42</v>
      </c>
      <c r="AS67" s="9">
        <v>1.171</v>
      </c>
      <c r="AT67" s="8">
        <v>32.619999999999997</v>
      </c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idden="1">
      <c r="A68" t="s">
        <v>41</v>
      </c>
      <c r="B68" s="5">
        <v>43472</v>
      </c>
      <c r="C68" s="6">
        <v>85.2</v>
      </c>
      <c r="D68" s="7">
        <v>104</v>
      </c>
      <c r="E68" s="7">
        <v>1759</v>
      </c>
      <c r="F68" s="6">
        <f>PowerProfiling[[#This Row],[IL Peak Power (W)]]/PowerProfiling[[#This Row],[Rider Weight]]</f>
        <v>20.645539906103284</v>
      </c>
      <c r="G68" s="7">
        <f>PowerProfiling[[#This Row],[IL Max Cadence (RPM)]]*0.5</f>
        <v>129.5</v>
      </c>
      <c r="H68" s="7">
        <v>252</v>
      </c>
      <c r="I68">
        <v>259</v>
      </c>
      <c r="J68" s="8">
        <v>32.590000000000003</v>
      </c>
      <c r="K68">
        <v>1710</v>
      </c>
      <c r="L68" s="6">
        <f>PowerProfiling[[#This Row],[S500Peak Power]]/PowerProfiling[[#This Row],[Rider Weight]]</f>
        <v>20.070422535211268</v>
      </c>
      <c r="M68" s="6">
        <v>72</v>
      </c>
      <c r="N68">
        <v>1575</v>
      </c>
      <c r="O68">
        <v>1328</v>
      </c>
      <c r="P68">
        <v>1125</v>
      </c>
      <c r="Q68" s="8">
        <f>((PowerProfiling[[#This Row],[S500Peak Power]]-PowerProfiling[[#This Row],[30s MMP]])/PowerProfiling[[#This Row],[S500Peak Power]])*100</f>
        <v>34.210526315789473</v>
      </c>
      <c r="R68">
        <v>93.5</v>
      </c>
      <c r="S68">
        <v>119</v>
      </c>
      <c r="T68">
        <v>136.5</v>
      </c>
      <c r="U68">
        <v>156</v>
      </c>
      <c r="V68">
        <v>169.5</v>
      </c>
      <c r="W68">
        <v>184.5</v>
      </c>
      <c r="X68">
        <v>192.5</v>
      </c>
      <c r="Y68">
        <v>204.5</v>
      </c>
      <c r="Z68">
        <v>1545.5</v>
      </c>
      <c r="AA68">
        <v>1694.5</v>
      </c>
      <c r="AB68">
        <v>1826.5</v>
      </c>
      <c r="AC68">
        <v>1758</v>
      </c>
      <c r="AD68">
        <v>1631.5</v>
      </c>
      <c r="AE68">
        <v>1444</v>
      </c>
      <c r="AF68">
        <v>1299.5</v>
      </c>
      <c r="AG68">
        <v>1141.5</v>
      </c>
      <c r="AH68" s="6">
        <f t="shared" si="22"/>
        <v>157.8442553252562</v>
      </c>
      <c r="AI68" s="6">
        <f t="shared" si="22"/>
        <v>135.97716860632772</v>
      </c>
      <c r="AJ68" s="6">
        <f t="shared" si="22"/>
        <v>127.77868288235027</v>
      </c>
      <c r="AK68" s="6">
        <f t="shared" si="22"/>
        <v>107.61322690598155</v>
      </c>
      <c r="AL68" s="6">
        <f t="shared" si="22"/>
        <v>91.915500762629108</v>
      </c>
      <c r="AM68" s="6">
        <f t="shared" si="22"/>
        <v>74.738126121852645</v>
      </c>
      <c r="AN68" s="6">
        <f t="shared" si="22"/>
        <v>64.463952794156256</v>
      </c>
      <c r="AO68" s="6">
        <f t="shared" si="22"/>
        <v>53.303286319627929</v>
      </c>
      <c r="AP68" s="6">
        <v>27</v>
      </c>
      <c r="AQ68" s="6">
        <v>1011</v>
      </c>
      <c r="AR68" s="6">
        <v>57</v>
      </c>
      <c r="AS68" s="9">
        <v>1.165</v>
      </c>
      <c r="AT68" s="8">
        <v>32.630000000000003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>
      <c r="A69" t="s">
        <v>55</v>
      </c>
      <c r="B69" s="5">
        <v>44509</v>
      </c>
      <c r="C69" s="6">
        <v>96.9</v>
      </c>
      <c r="D69" s="7">
        <v>104</v>
      </c>
      <c r="E69" s="7">
        <v>1913.5</v>
      </c>
      <c r="F69" s="6">
        <f>PowerProfiling[[#This Row],[IL Peak Power (W)]]/PowerProfiling[[#This Row],[Rider Weight]]</f>
        <v>19.747162022703819</v>
      </c>
      <c r="G69" s="7">
        <v>113.5</v>
      </c>
      <c r="H69" s="7">
        <v>323</v>
      </c>
      <c r="I69" s="7">
        <v>234.5</v>
      </c>
      <c r="J69">
        <v>32.950000000000003</v>
      </c>
      <c r="K69">
        <v>1865</v>
      </c>
      <c r="L69" s="6">
        <f>PowerProfiling[[#This Row],[S500Peak Power]]/PowerProfiling[[#This Row],[Rider Weight]]</f>
        <v>19.246646026831783</v>
      </c>
      <c r="M69" s="6">
        <v>56</v>
      </c>
      <c r="N69">
        <v>1648</v>
      </c>
      <c r="O69">
        <v>1306</v>
      </c>
      <c r="P69">
        <v>1091</v>
      </c>
      <c r="Q69" s="7">
        <f>((PowerProfiling[[#This Row],[S500Peak Power]]-PowerProfiling[[#This Row],[30s MMP]])/PowerProfiling[[#This Row],[S500Peak Power]])*100</f>
        <v>41.501340482573731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9"/>
      <c r="AT69" s="8">
        <v>32.950000000000003</v>
      </c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idden="1">
      <c r="A70" t="s">
        <v>48</v>
      </c>
      <c r="B70" s="5">
        <v>44140</v>
      </c>
      <c r="C70" s="3">
        <v>93.2</v>
      </c>
      <c r="D70" s="7">
        <v>104</v>
      </c>
      <c r="E70" s="4">
        <v>1752</v>
      </c>
      <c r="F70" s="6">
        <f>PowerProfiling[[#This Row],[IL Peak Power (W)]]/PowerProfiling[[#This Row],[Rider Weight]]</f>
        <v>18.798283261802574</v>
      </c>
      <c r="G70" s="7">
        <f>PowerProfiling[[#This Row],[IL Max Cadence (RPM)]]*0.5</f>
        <v>137.5</v>
      </c>
      <c r="H70" s="7">
        <v>237</v>
      </c>
      <c r="I70">
        <v>275</v>
      </c>
      <c r="K70">
        <v>1760</v>
      </c>
      <c r="L70" s="6">
        <f>PowerProfiling[[#This Row],[S500Peak Power]]/PowerProfiling[[#This Row],[Rider Weight]]</f>
        <v>18.884120171673818</v>
      </c>
      <c r="M70" s="6"/>
      <c r="N70">
        <v>1559</v>
      </c>
      <c r="O70">
        <v>1296</v>
      </c>
      <c r="Q70" s="7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9"/>
      <c r="AT70" s="8"/>
      <c r="AU70">
        <v>1760</v>
      </c>
      <c r="AV70">
        <v>1104</v>
      </c>
      <c r="AW70">
        <v>751</v>
      </c>
      <c r="AX70">
        <v>45</v>
      </c>
      <c r="AY70">
        <v>1711</v>
      </c>
      <c r="AZ70">
        <v>1022</v>
      </c>
      <c r="BA70">
        <v>628</v>
      </c>
      <c r="BB70">
        <v>54</v>
      </c>
      <c r="BC70">
        <v>1570</v>
      </c>
      <c r="BD70">
        <v>875</v>
      </c>
      <c r="BE70">
        <v>499</v>
      </c>
      <c r="BF70">
        <v>59</v>
      </c>
      <c r="BG70" s="6">
        <f>((AU70-BC70)/AU70)*100</f>
        <v>10.795454545454545</v>
      </c>
      <c r="BH70" s="6">
        <f>((AV70-BD70)/AV70)*100</f>
        <v>20.742753623188406</v>
      </c>
      <c r="BI70" s="6"/>
    </row>
    <row r="71" spans="1:61" hidden="1">
      <c r="A71" t="s">
        <v>45</v>
      </c>
      <c r="B71" s="5">
        <v>43563</v>
      </c>
      <c r="C71" s="6">
        <v>80.3</v>
      </c>
      <c r="D71" s="7">
        <v>104</v>
      </c>
      <c r="E71" s="7">
        <v>1741</v>
      </c>
      <c r="F71" s="6">
        <f>PowerProfiling[[#This Row],[IL Peak Power (W)]]/PowerProfiling[[#This Row],[Rider Weight]]</f>
        <v>21.681195516811957</v>
      </c>
      <c r="G71" s="7">
        <f>PowerProfiling[[#This Row],[IL Max Cadence (RPM)]]*0.5</f>
        <v>134</v>
      </c>
      <c r="H71" s="7">
        <v>242</v>
      </c>
      <c r="I71">
        <v>268</v>
      </c>
      <c r="J71" s="8">
        <v>32.61</v>
      </c>
      <c r="K71">
        <v>1832</v>
      </c>
      <c r="L71" s="6">
        <f>PowerProfiling[[#This Row],[S500Peak Power]]/PowerProfiling[[#This Row],[Rider Weight]]</f>
        <v>22.814445828144461</v>
      </c>
      <c r="M71" s="6">
        <v>79</v>
      </c>
      <c r="N71">
        <v>1541</v>
      </c>
      <c r="O71">
        <v>1282</v>
      </c>
      <c r="P71">
        <v>1097</v>
      </c>
      <c r="Q71" s="8">
        <f>((PowerProfiling[[#This Row],[S500Peak Power]]-PowerProfiling[[#This Row],[30s MMP]])/PowerProfiling[[#This Row],[S500Peak Power]])*100</f>
        <v>40.120087336244545</v>
      </c>
      <c r="R71">
        <v>89</v>
      </c>
      <c r="S71">
        <v>116</v>
      </c>
      <c r="T71">
        <v>134</v>
      </c>
      <c r="U71">
        <v>148.5</v>
      </c>
      <c r="V71">
        <v>169</v>
      </c>
      <c r="W71">
        <v>185</v>
      </c>
      <c r="X71">
        <v>199.5</v>
      </c>
      <c r="Y71">
        <v>208.5</v>
      </c>
      <c r="Z71">
        <v>1462</v>
      </c>
      <c r="AA71">
        <v>1708.5</v>
      </c>
      <c r="AB71">
        <v>1806.5</v>
      </c>
      <c r="AC71">
        <v>1750</v>
      </c>
      <c r="AD71">
        <v>1621.5</v>
      </c>
      <c r="AE71">
        <v>1500</v>
      </c>
      <c r="AF71">
        <v>1332.5</v>
      </c>
      <c r="AG71">
        <v>1190</v>
      </c>
      <c r="AH71" s="6">
        <f t="shared" ref="AH71:AO71" si="23">Z71/(R71*(PI()/30))</f>
        <v>156.86597312383213</v>
      </c>
      <c r="AI71" s="6">
        <f t="shared" si="23"/>
        <v>140.64632083060511</v>
      </c>
      <c r="AJ71" s="6">
        <f t="shared" si="23"/>
        <v>128.73734538604879</v>
      </c>
      <c r="AK71" s="6">
        <f t="shared" si="23"/>
        <v>112.53379814578459</v>
      </c>
      <c r="AL71" s="6">
        <f t="shared" si="23"/>
        <v>91.622392978760345</v>
      </c>
      <c r="AM71" s="6">
        <f t="shared" si="23"/>
        <v>77.426729071732865</v>
      </c>
      <c r="AN71" s="6">
        <f t="shared" si="23"/>
        <v>63.781642607503933</v>
      </c>
      <c r="AO71" s="6">
        <f t="shared" si="23"/>
        <v>54.501980512044739</v>
      </c>
      <c r="AP71" s="6">
        <v>25.3</v>
      </c>
      <c r="AQ71" s="6">
        <v>1008</v>
      </c>
      <c r="AR71" s="6">
        <v>42</v>
      </c>
      <c r="AS71" s="9">
        <v>1.171</v>
      </c>
      <c r="AT71" s="8">
        <v>32.61</v>
      </c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idden="1">
      <c r="A72" t="s">
        <v>48</v>
      </c>
      <c r="B72" s="5">
        <v>44235</v>
      </c>
      <c r="C72" s="6">
        <v>93.5</v>
      </c>
      <c r="D72" s="7">
        <v>104</v>
      </c>
      <c r="E72" s="7">
        <v>1741</v>
      </c>
      <c r="F72" s="6">
        <f>PowerProfiling[[#This Row],[IL Peak Power (W)]]/PowerProfiling[[#This Row],[Rider Weight]]</f>
        <v>18.620320855614974</v>
      </c>
      <c r="G72" s="7">
        <f>PowerProfiling[[#This Row],[IL Max Cadence (RPM)]]*0.5</f>
        <v>132.5</v>
      </c>
      <c r="H72" s="7">
        <v>245</v>
      </c>
      <c r="I72">
        <v>265</v>
      </c>
      <c r="K72">
        <v>1697</v>
      </c>
      <c r="L72" s="6">
        <f>PowerProfiling[[#This Row],[S500Peak Power]]/PowerProfiling[[#This Row],[Rider Weight]]</f>
        <v>18.149732620320854</v>
      </c>
      <c r="M72" s="6"/>
      <c r="N72">
        <v>1491</v>
      </c>
      <c r="O72">
        <v>1246</v>
      </c>
      <c r="Q72" s="7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9"/>
      <c r="AT72" s="8"/>
      <c r="AU72" s="7">
        <v>1697</v>
      </c>
      <c r="AV72" s="7">
        <v>1065</v>
      </c>
      <c r="AW72" s="7">
        <v>726</v>
      </c>
      <c r="AX72" s="7">
        <v>45</v>
      </c>
      <c r="AY72" s="7">
        <v>1622</v>
      </c>
      <c r="AZ72" s="7">
        <v>1000</v>
      </c>
      <c r="BA72" s="7">
        <v>649</v>
      </c>
      <c r="BB72" s="7">
        <v>50</v>
      </c>
      <c r="BC72" s="7">
        <v>1543</v>
      </c>
      <c r="BD72" s="7">
        <v>845</v>
      </c>
      <c r="BE72" s="7">
        <v>511</v>
      </c>
      <c r="BF72" s="7">
        <v>58</v>
      </c>
      <c r="BG72" s="6">
        <f>((AU72-BC72)/AU72)*100</f>
        <v>9.0748379493223332</v>
      </c>
      <c r="BH72" s="6">
        <f>((AV72-BD72)/AV72)*100</f>
        <v>20.657276995305164</v>
      </c>
      <c r="BI72" s="6"/>
    </row>
    <row r="73" spans="1:61" hidden="1">
      <c r="A73" t="s">
        <v>40</v>
      </c>
      <c r="B73" s="5">
        <v>44348</v>
      </c>
      <c r="C73" s="6">
        <v>82.5</v>
      </c>
      <c r="D73" s="7"/>
      <c r="E73" s="7">
        <v>1738</v>
      </c>
      <c r="F73" s="6">
        <f>PowerProfiling[[#This Row],[IL Peak Power (W)]]/PowerProfiling[[#This Row],[Rider Weight]]</f>
        <v>21.066666666666666</v>
      </c>
      <c r="G73" s="7">
        <v>127.5</v>
      </c>
      <c r="H73" s="7">
        <v>263.5</v>
      </c>
      <c r="I73" s="7">
        <v>255.5</v>
      </c>
      <c r="L73" s="6"/>
      <c r="M73" s="6"/>
      <c r="Q73" s="7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9"/>
      <c r="AT73" s="8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idden="1">
      <c r="A74" t="s">
        <v>48</v>
      </c>
      <c r="B74" s="5">
        <v>44204</v>
      </c>
      <c r="C74" s="6">
        <v>94.2</v>
      </c>
      <c r="D74" s="7">
        <v>104</v>
      </c>
      <c r="E74" s="7">
        <v>1729</v>
      </c>
      <c r="F74" s="6">
        <f>PowerProfiling[[#This Row],[IL Peak Power (W)]]/PowerProfiling[[#This Row],[Rider Weight]]</f>
        <v>18.354564755838641</v>
      </c>
      <c r="G74" s="7">
        <f>PowerProfiling[[#This Row],[IL Max Cadence (RPM)]]*0.5</f>
        <v>132.5</v>
      </c>
      <c r="H74" s="7">
        <v>241</v>
      </c>
      <c r="I74">
        <v>265</v>
      </c>
      <c r="K74">
        <v>1806</v>
      </c>
      <c r="L74" s="6">
        <f>PowerProfiling[[#This Row],[S500Peak Power]]/PowerProfiling[[#This Row],[Rider Weight]]</f>
        <v>19.171974522292992</v>
      </c>
      <c r="M74" s="6"/>
      <c r="N74">
        <v>1582</v>
      </c>
      <c r="O74">
        <v>1314</v>
      </c>
      <c r="Q74" s="7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9"/>
      <c r="AT74" s="8"/>
      <c r="AU74">
        <v>1806</v>
      </c>
      <c r="AV74">
        <v>1133</v>
      </c>
      <c r="AW74">
        <v>807</v>
      </c>
      <c r="AX74">
        <v>43</v>
      </c>
      <c r="AY74">
        <v>1769</v>
      </c>
      <c r="AZ74">
        <v>1103</v>
      </c>
      <c r="BA74">
        <v>747</v>
      </c>
      <c r="BB74">
        <v>47</v>
      </c>
      <c r="BC74">
        <v>1551</v>
      </c>
      <c r="BD74">
        <v>892</v>
      </c>
      <c r="BE74">
        <v>546</v>
      </c>
      <c r="BF74">
        <v>56</v>
      </c>
      <c r="BG74" s="6">
        <f>((AU74-BC74)/AU74)*100</f>
        <v>14.119601328903656</v>
      </c>
      <c r="BH74" s="6">
        <f>((AV74-BD74)/AV74)*100</f>
        <v>21.270962047661076</v>
      </c>
      <c r="BI74" s="6"/>
    </row>
    <row r="75" spans="1:61" hidden="1">
      <c r="A75" t="s">
        <v>52</v>
      </c>
      <c r="B75" s="5">
        <v>44621</v>
      </c>
      <c r="C75" s="6">
        <v>92.2</v>
      </c>
      <c r="D75" s="7">
        <v>104</v>
      </c>
      <c r="E75" s="7">
        <v>1722</v>
      </c>
      <c r="F75" s="6">
        <f>PowerProfiling[[#This Row],[IL Peak Power (W)]]/PowerProfiling[[#This Row],[Rider Weight]]</f>
        <v>18.676789587852493</v>
      </c>
      <c r="G75" s="7">
        <v>132</v>
      </c>
      <c r="H75" s="7">
        <v>257</v>
      </c>
      <c r="I75">
        <v>258</v>
      </c>
      <c r="J75" s="8">
        <v>33.22</v>
      </c>
      <c r="K75">
        <v>1776</v>
      </c>
      <c r="L75" s="6">
        <f>PowerProfiling[[#This Row],[S500Peak Power]]/PowerProfiling[[#This Row],[Rider Weight]]</f>
        <v>19.262472885032537</v>
      </c>
      <c r="M75" s="6">
        <v>69</v>
      </c>
      <c r="N75">
        <v>1553</v>
      </c>
      <c r="O75">
        <v>1278</v>
      </c>
      <c r="P75">
        <v>1103</v>
      </c>
      <c r="Q75" s="7">
        <f>((PowerProfiling[[#This Row],[S500Peak Power]]-PowerProfiling[[#This Row],[30s MMP]])/PowerProfiling[[#This Row],[S500Peak Power]])*100</f>
        <v>37.894144144144143</v>
      </c>
      <c r="AH75" s="6"/>
      <c r="AI75" s="6"/>
      <c r="AJ75" s="6"/>
      <c r="AK75" s="6"/>
      <c r="AL75" s="6"/>
      <c r="AM75" s="6"/>
      <c r="AN75" s="6"/>
      <c r="AO75" s="6"/>
      <c r="AP75" s="6">
        <v>27.4</v>
      </c>
      <c r="AQ75" s="6">
        <v>1015</v>
      </c>
      <c r="AR75" s="6">
        <v>48</v>
      </c>
      <c r="AS75" s="9">
        <v>1.169</v>
      </c>
      <c r="AT75" s="8">
        <v>33.22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idden="1">
      <c r="A76" t="s">
        <v>41</v>
      </c>
      <c r="B76" s="5">
        <v>43430</v>
      </c>
      <c r="C76" s="6">
        <v>84.9</v>
      </c>
      <c r="D76" s="7">
        <v>104</v>
      </c>
      <c r="E76" s="7">
        <v>1713.3999999999999</v>
      </c>
      <c r="F76" s="6">
        <f>PowerProfiling[[#This Row],[IL Peak Power (W)]]/PowerProfiling[[#This Row],[Rider Weight]]</f>
        <v>20.181389870435805</v>
      </c>
      <c r="G76" s="7">
        <f>PowerProfiling[[#This Row],[IL Max Cadence (RPM)]]*0.5</f>
        <v>130</v>
      </c>
      <c r="H76" s="7">
        <v>246.20762360302183</v>
      </c>
      <c r="I76">
        <v>260</v>
      </c>
      <c r="J76">
        <v>32.619999999999997</v>
      </c>
      <c r="K76">
        <v>1812</v>
      </c>
      <c r="L76" s="6">
        <f>PowerProfiling[[#This Row],[S500Peak Power]]/PowerProfiling[[#This Row],[Rider Weight]]</f>
        <v>21.342756183745582</v>
      </c>
      <c r="M76" s="6">
        <v>70</v>
      </c>
      <c r="N76">
        <v>1594</v>
      </c>
      <c r="O76">
        <v>1303</v>
      </c>
      <c r="P76">
        <v>1098</v>
      </c>
      <c r="Q76" s="8">
        <f>((PowerProfiling[[#This Row],[S500Peak Power]]-PowerProfiling[[#This Row],[30s MMP]])/PowerProfiling[[#This Row],[S500Peak Power]])*100</f>
        <v>39.403973509933778</v>
      </c>
      <c r="R76">
        <v>93</v>
      </c>
      <c r="S76">
        <v>118</v>
      </c>
      <c r="T76">
        <v>135</v>
      </c>
      <c r="U76">
        <v>159</v>
      </c>
      <c r="V76">
        <v>175.5</v>
      </c>
      <c r="W76">
        <v>187.5</v>
      </c>
      <c r="X76">
        <v>197</v>
      </c>
      <c r="Y76">
        <v>205</v>
      </c>
      <c r="Z76">
        <v>1512.5</v>
      </c>
      <c r="AA76">
        <v>1650.5</v>
      </c>
      <c r="AB76">
        <v>1798</v>
      </c>
      <c r="AC76">
        <v>1664</v>
      </c>
      <c r="AD76">
        <v>1500.5</v>
      </c>
      <c r="AE76">
        <v>1374.5</v>
      </c>
      <c r="AF76">
        <v>1295.5</v>
      </c>
      <c r="AG76">
        <v>1081.5</v>
      </c>
      <c r="AH76" s="6">
        <f t="shared" ref="AH76:AO77" si="24">Z76/(R76*(PI()/30))</f>
        <v>155.30442027515593</v>
      </c>
      <c r="AI76" s="6">
        <f t="shared" si="24"/>
        <v>133.56876283381692</v>
      </c>
      <c r="AJ76" s="6">
        <f t="shared" si="24"/>
        <v>127.18248341299014</v>
      </c>
      <c r="AK76" s="6">
        <f t="shared" si="24"/>
        <v>99.93729256789203</v>
      </c>
      <c r="AL76" s="6">
        <f t="shared" si="24"/>
        <v>81.645125507483399</v>
      </c>
      <c r="AM76" s="6">
        <f t="shared" si="24"/>
        <v>70.002710169539242</v>
      </c>
      <c r="AN76" s="6">
        <f t="shared" si="24"/>
        <v>62.797531606766626</v>
      </c>
      <c r="AO76" s="6">
        <f t="shared" si="24"/>
        <v>50.378362230405308</v>
      </c>
      <c r="AP76" s="6">
        <v>25.2</v>
      </c>
      <c r="AQ76" s="6">
        <v>994</v>
      </c>
      <c r="AR76" s="6">
        <v>54</v>
      </c>
      <c r="AS76" s="9">
        <v>1.1859999999999999</v>
      </c>
      <c r="AT76" s="8">
        <v>32.76</v>
      </c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idden="1">
      <c r="A77" t="s">
        <v>45</v>
      </c>
      <c r="B77" s="5">
        <v>43430</v>
      </c>
      <c r="C77" s="3">
        <v>78.3</v>
      </c>
      <c r="D77" s="4">
        <v>104</v>
      </c>
      <c r="E77" s="7">
        <v>1684.1351999999997</v>
      </c>
      <c r="F77" s="6">
        <f>PowerProfiling[[#This Row],[IL Peak Power (W)]]/PowerProfiling[[#This Row],[Rider Weight]]</f>
        <v>21.508750957854403</v>
      </c>
      <c r="G77" s="7">
        <f>PowerProfiling[[#This Row],[IL Max Cadence (RPM)]]*0.5</f>
        <v>132</v>
      </c>
      <c r="H77" s="7">
        <v>237.15217838183963</v>
      </c>
      <c r="I77">
        <v>264</v>
      </c>
      <c r="J77">
        <v>33.01</v>
      </c>
      <c r="K77">
        <v>1674</v>
      </c>
      <c r="L77" s="6">
        <f>PowerProfiling[[#This Row],[S500Peak Power]]/PowerProfiling[[#This Row],[Rider Weight]]</f>
        <v>21.379310344827587</v>
      </c>
      <c r="M77" s="6">
        <v>84</v>
      </c>
      <c r="N77">
        <v>1419</v>
      </c>
      <c r="O77">
        <v>1216</v>
      </c>
      <c r="P77">
        <v>1052</v>
      </c>
      <c r="Q77" s="8">
        <f>((PowerProfiling[[#This Row],[S500Peak Power]]-PowerProfiling[[#This Row],[30s MMP]])/PowerProfiling[[#This Row],[S500Peak Power]])*100</f>
        <v>37.156511350059738</v>
      </c>
      <c r="R77">
        <v>88.5</v>
      </c>
      <c r="S77">
        <v>114</v>
      </c>
      <c r="T77">
        <v>132.5</v>
      </c>
      <c r="U77">
        <v>146.5</v>
      </c>
      <c r="V77">
        <v>161.5</v>
      </c>
      <c r="W77">
        <v>181</v>
      </c>
      <c r="X77">
        <v>193</v>
      </c>
      <c r="Y77">
        <v>205</v>
      </c>
      <c r="Z77">
        <v>1430</v>
      </c>
      <c r="AA77">
        <v>1630.5</v>
      </c>
      <c r="AB77">
        <v>1741</v>
      </c>
      <c r="AC77">
        <v>1720</v>
      </c>
      <c r="AD77">
        <v>1590.5</v>
      </c>
      <c r="AE77">
        <v>1463.5</v>
      </c>
      <c r="AF77">
        <v>1325</v>
      </c>
      <c r="AG77">
        <v>1165.5</v>
      </c>
      <c r="AH77" s="6">
        <f t="shared" si="24"/>
        <v>154.29936855688837</v>
      </c>
      <c r="AI77" s="6">
        <f t="shared" si="24"/>
        <v>136.58007090070282</v>
      </c>
      <c r="AJ77" s="6">
        <f t="shared" si="24"/>
        <v>125.47415362550483</v>
      </c>
      <c r="AK77" s="6">
        <f t="shared" si="24"/>
        <v>112.11460837599726</v>
      </c>
      <c r="AL77" s="6">
        <f t="shared" si="24"/>
        <v>94.044310955167632</v>
      </c>
      <c r="AM77" s="6">
        <f t="shared" si="24"/>
        <v>77.212130126515632</v>
      </c>
      <c r="AN77" s="6">
        <f t="shared" si="24"/>
        <v>65.558642361687461</v>
      </c>
      <c r="AO77" s="6">
        <f t="shared" si="24"/>
        <v>54.291244733737763</v>
      </c>
      <c r="AP77" s="6">
        <v>25.2</v>
      </c>
      <c r="AQ77" s="6">
        <v>994</v>
      </c>
      <c r="AR77" s="6">
        <v>54</v>
      </c>
      <c r="AS77" s="9">
        <v>1.1859999999999999</v>
      </c>
      <c r="AT77" s="8">
        <v>33.159999999999997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>
      <c r="A78" t="s">
        <v>55</v>
      </c>
      <c r="B78" s="5">
        <v>44621</v>
      </c>
      <c r="C78" s="6">
        <v>97.4</v>
      </c>
      <c r="D78" s="7">
        <v>104</v>
      </c>
      <c r="E78" s="7">
        <v>1915</v>
      </c>
      <c r="F78" s="6">
        <f>PowerProfiling[[#This Row],[IL Peak Power (W)]]/PowerProfiling[[#This Row],[Rider Weight]]</f>
        <v>19.661190965092402</v>
      </c>
      <c r="G78" s="7">
        <v>113</v>
      </c>
      <c r="H78" s="7">
        <v>326</v>
      </c>
      <c r="I78">
        <v>234</v>
      </c>
      <c r="J78" s="8">
        <v>32.68</v>
      </c>
      <c r="K78">
        <v>1898</v>
      </c>
      <c r="L78" s="6">
        <f>PowerProfiling[[#This Row],[S500Peak Power]]/PowerProfiling[[#This Row],[Rider Weight]]</f>
        <v>19.486652977412732</v>
      </c>
      <c r="M78" s="6">
        <v>56</v>
      </c>
      <c r="N78">
        <v>1655</v>
      </c>
      <c r="O78">
        <v>1325</v>
      </c>
      <c r="P78">
        <v>1111</v>
      </c>
      <c r="Q78" s="7">
        <f>((PowerProfiling[[#This Row],[S500Peak Power]]-PowerProfiling[[#This Row],[30s MMP]])/PowerProfiling[[#This Row],[S500Peak Power]])*100</f>
        <v>41.464699683877768</v>
      </c>
      <c r="AH78" s="6"/>
      <c r="AI78" s="6"/>
      <c r="AJ78" s="6"/>
      <c r="AK78" s="6"/>
      <c r="AL78" s="6"/>
      <c r="AM78" s="6"/>
      <c r="AN78" s="6"/>
      <c r="AO78" s="6"/>
      <c r="AP78" s="6">
        <v>27.4</v>
      </c>
      <c r="AQ78" s="6">
        <v>1015</v>
      </c>
      <c r="AR78" s="6">
        <v>48</v>
      </c>
      <c r="AS78" s="9">
        <v>1.169</v>
      </c>
      <c r="AT78" s="8">
        <v>32.68</v>
      </c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idden="1">
      <c r="A79" t="s">
        <v>48</v>
      </c>
      <c r="B79" s="5">
        <v>44097</v>
      </c>
      <c r="C79" s="6">
        <v>92.9</v>
      </c>
      <c r="D79" s="7">
        <v>104</v>
      </c>
      <c r="E79" s="7">
        <v>1674</v>
      </c>
      <c r="F79" s="6">
        <f>PowerProfiling[[#This Row],[IL Peak Power (W)]]/PowerProfiling[[#This Row],[Rider Weight]]</f>
        <v>18.019375672766415</v>
      </c>
      <c r="G79" s="7">
        <f>PowerProfiling[[#This Row],[IL Max Cadence (RPM)]]*0.5</f>
        <v>134</v>
      </c>
      <c r="H79" s="7">
        <v>235</v>
      </c>
      <c r="I79">
        <v>268</v>
      </c>
      <c r="K79">
        <v>1712</v>
      </c>
      <c r="L79" s="6">
        <f>PowerProfiling[[#This Row],[S500Peak Power]]/PowerProfiling[[#This Row],[Rider Weight]]</f>
        <v>18.428417653390742</v>
      </c>
      <c r="M79" s="6"/>
      <c r="N79">
        <v>1540</v>
      </c>
      <c r="O79">
        <v>1299</v>
      </c>
      <c r="Q79" s="7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9"/>
      <c r="AT79" s="8"/>
      <c r="AU79">
        <v>1712</v>
      </c>
      <c r="AV79">
        <v>1122</v>
      </c>
      <c r="AW79">
        <v>806</v>
      </c>
      <c r="AX79">
        <v>41</v>
      </c>
      <c r="AY79">
        <v>1692</v>
      </c>
      <c r="AZ79">
        <v>1051</v>
      </c>
      <c r="BA79">
        <v>726</v>
      </c>
      <c r="BB79">
        <v>44</v>
      </c>
      <c r="BC79">
        <v>1552</v>
      </c>
      <c r="BD79">
        <v>931</v>
      </c>
      <c r="BE79">
        <v>556</v>
      </c>
      <c r="BF79">
        <v>57</v>
      </c>
      <c r="BG79" s="6">
        <f>((AU79-BC79)/AU79)*100</f>
        <v>9.3457943925233646</v>
      </c>
      <c r="BH79" s="6">
        <f>((AV79-BD79)/AV79)*100</f>
        <v>17.023172905525847</v>
      </c>
      <c r="BI79" s="6"/>
    </row>
    <row r="80" spans="1:61" hidden="1">
      <c r="A80" t="s">
        <v>52</v>
      </c>
      <c r="B80" s="5">
        <v>44509</v>
      </c>
      <c r="C80" s="6">
        <v>87.9</v>
      </c>
      <c r="D80" s="7">
        <v>104</v>
      </c>
      <c r="E80" s="7">
        <v>1591.5</v>
      </c>
      <c r="F80" s="6">
        <f>PowerProfiling[[#This Row],[IL Peak Power (W)]]/PowerProfiling[[#This Row],[Rider Weight]]</f>
        <v>18.10580204778157</v>
      </c>
      <c r="G80" s="7">
        <v>127.5</v>
      </c>
      <c r="H80" s="7">
        <v>245.5</v>
      </c>
      <c r="I80" s="7">
        <v>255</v>
      </c>
      <c r="J80">
        <v>33.18</v>
      </c>
      <c r="K80">
        <v>1672</v>
      </c>
      <c r="L80" s="6">
        <f>PowerProfiling[[#This Row],[S500Peak Power]]/PowerProfiling[[#This Row],[Rider Weight]]</f>
        <v>19.021615472127415</v>
      </c>
      <c r="M80" s="6">
        <v>82</v>
      </c>
      <c r="N80">
        <v>1484</v>
      </c>
      <c r="O80">
        <v>1234</v>
      </c>
      <c r="P80">
        <v>1062</v>
      </c>
      <c r="Q80" s="7">
        <f>((PowerProfiling[[#This Row],[S500Peak Power]]-PowerProfiling[[#This Row],[30s MMP]])/PowerProfiling[[#This Row],[S500Peak Power]])*100</f>
        <v>36.483253588516746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9"/>
      <c r="AT80" s="8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idden="1">
      <c r="A81" t="s">
        <v>45</v>
      </c>
      <c r="B81" s="5">
        <v>43655</v>
      </c>
      <c r="C81" s="3">
        <v>78.3</v>
      </c>
      <c r="D81" s="4">
        <v>104</v>
      </c>
      <c r="E81" s="4">
        <v>1591</v>
      </c>
      <c r="F81" s="6">
        <f>PowerProfiling[[#This Row],[IL Peak Power (W)]]/PowerProfiling[[#This Row],[Rider Weight]]</f>
        <v>20.319284802043423</v>
      </c>
      <c r="G81" s="7">
        <f>PowerProfiling[[#This Row],[IL Max Cadence (RPM)]]*0.5</f>
        <v>135</v>
      </c>
      <c r="H81" s="7">
        <v>214</v>
      </c>
      <c r="I81">
        <v>270</v>
      </c>
      <c r="J81" s="8">
        <v>33.9</v>
      </c>
      <c r="K81" s="7">
        <v>1716.6727294921875</v>
      </c>
      <c r="L81" s="6">
        <f>PowerProfiling[[#This Row],[S500Peak Power]]/PowerProfiling[[#This Row],[Rider Weight]]</f>
        <v>21.924300504370212</v>
      </c>
      <c r="M81" s="6">
        <v>94</v>
      </c>
      <c r="N81">
        <v>1419</v>
      </c>
      <c r="O81">
        <v>1183</v>
      </c>
      <c r="P81">
        <v>1031</v>
      </c>
      <c r="Q81" s="8"/>
      <c r="R81">
        <v>84</v>
      </c>
      <c r="S81">
        <v>110</v>
      </c>
      <c r="T81">
        <v>128.5</v>
      </c>
      <c r="U81">
        <v>143</v>
      </c>
      <c r="V81">
        <v>159</v>
      </c>
      <c r="W81">
        <v>175.5</v>
      </c>
      <c r="X81">
        <v>194.5</v>
      </c>
      <c r="Y81">
        <v>206</v>
      </c>
      <c r="Z81">
        <v>1230</v>
      </c>
      <c r="AA81">
        <v>1530.5</v>
      </c>
      <c r="AB81">
        <v>1664</v>
      </c>
      <c r="AC81">
        <v>1655.5</v>
      </c>
      <c r="AD81">
        <v>1543.5</v>
      </c>
      <c r="AE81">
        <v>1441.5</v>
      </c>
      <c r="AF81">
        <v>1303.5</v>
      </c>
      <c r="AG81">
        <v>1117.5</v>
      </c>
      <c r="AH81" s="6">
        <f t="shared" ref="AH81:AO81" si="25">Z81/(R81*(PI()/30))</f>
        <v>139.82898571645092</v>
      </c>
      <c r="AI81" s="6">
        <f t="shared" si="25"/>
        <v>132.86544021935228</v>
      </c>
      <c r="AJ81" s="6">
        <f t="shared" si="25"/>
        <v>123.6578172629948</v>
      </c>
      <c r="AK81" s="6">
        <f t="shared" si="25"/>
        <v>110.55147200921654</v>
      </c>
      <c r="AL81" s="6">
        <f t="shared" si="25"/>
        <v>92.700247042392633</v>
      </c>
      <c r="AM81" s="6">
        <f t="shared" si="25"/>
        <v>78.434820672467396</v>
      </c>
      <c r="AN81" s="6">
        <f t="shared" si="25"/>
        <v>63.997470947131802</v>
      </c>
      <c r="AO81" s="6">
        <f t="shared" si="25"/>
        <v>51.802616185978565</v>
      </c>
      <c r="AP81" s="6">
        <v>22.7</v>
      </c>
      <c r="AQ81" s="6">
        <v>1006</v>
      </c>
      <c r="AR81" s="6">
        <v>46</v>
      </c>
      <c r="AS81" s="9">
        <v>1.179</v>
      </c>
      <c r="AT81" s="8">
        <v>33.799999999999997</v>
      </c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idden="1">
      <c r="A82" t="s">
        <v>47</v>
      </c>
      <c r="B82" s="5">
        <v>44036</v>
      </c>
      <c r="C82" s="6">
        <v>75.099999999999994</v>
      </c>
      <c r="D82" s="7">
        <v>100</v>
      </c>
      <c r="E82" s="7">
        <v>1477</v>
      </c>
      <c r="F82" s="6">
        <f>PowerProfiling[[#This Row],[IL Peak Power (W)]]/PowerProfiling[[#This Row],[Rider Weight]]</f>
        <v>19.667110519307592</v>
      </c>
      <c r="G82" s="7">
        <f>PowerProfiling[[#This Row],[IL Max Cadence (RPM)]]*0.5</f>
        <v>127</v>
      </c>
      <c r="H82" s="7">
        <v>217</v>
      </c>
      <c r="I82">
        <v>254</v>
      </c>
      <c r="K82">
        <v>1403</v>
      </c>
      <c r="L82" s="6">
        <f>PowerProfiling[[#This Row],[S500Peak Power]]/PowerProfiling[[#This Row],[Rider Weight]]</f>
        <v>18.681757656458057</v>
      </c>
      <c r="M82" s="6"/>
      <c r="N82">
        <v>1269</v>
      </c>
      <c r="O82">
        <v>1035</v>
      </c>
      <c r="Q82" s="7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9"/>
      <c r="AT82" s="8"/>
      <c r="AU82">
        <v>1403</v>
      </c>
      <c r="AV82">
        <v>868</v>
      </c>
      <c r="AW82">
        <v>606</v>
      </c>
      <c r="AX82">
        <v>47</v>
      </c>
      <c r="AY82">
        <v>1378</v>
      </c>
      <c r="AZ82">
        <v>852</v>
      </c>
      <c r="BA82">
        <v>589</v>
      </c>
      <c r="BB82">
        <v>48</v>
      </c>
      <c r="BC82">
        <v>1231</v>
      </c>
      <c r="BD82">
        <v>711</v>
      </c>
      <c r="BE82">
        <v>446</v>
      </c>
      <c r="BF82">
        <v>55</v>
      </c>
      <c r="BG82" s="6">
        <f>((AU82-BC82)/AU82)*100</f>
        <v>12.25944404846757</v>
      </c>
      <c r="BH82" s="6">
        <f>((AV82-BD82)/AV82)*100</f>
        <v>18.087557603686637</v>
      </c>
      <c r="BI82" s="6"/>
    </row>
    <row r="83" spans="1:61" hidden="1">
      <c r="A83" t="s">
        <v>47</v>
      </c>
      <c r="B83" s="5">
        <v>44204</v>
      </c>
      <c r="C83" s="6">
        <v>75.3</v>
      </c>
      <c r="D83" s="7">
        <v>100</v>
      </c>
      <c r="E83" s="7">
        <v>1469</v>
      </c>
      <c r="F83" s="6">
        <f>PowerProfiling[[#This Row],[IL Peak Power (W)]]/PowerProfiling[[#This Row],[Rider Weight]]</f>
        <v>19.508632138114212</v>
      </c>
      <c r="G83" s="7">
        <f>PowerProfiling[[#This Row],[IL Max Cadence (RPM)]]*0.5</f>
        <v>130</v>
      </c>
      <c r="H83" s="7">
        <v>208</v>
      </c>
      <c r="I83">
        <v>260</v>
      </c>
      <c r="K83">
        <v>1445</v>
      </c>
      <c r="L83" s="6">
        <f>PowerProfiling[[#This Row],[S500Peak Power]]/PowerProfiling[[#This Row],[Rider Weight]]</f>
        <v>19.189907038512619</v>
      </c>
      <c r="M83" s="6"/>
      <c r="N83">
        <v>1263</v>
      </c>
      <c r="O83">
        <v>1032</v>
      </c>
      <c r="Q83" s="7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9"/>
      <c r="AT83" s="8"/>
      <c r="AU83">
        <v>1445</v>
      </c>
      <c r="AV83">
        <v>853</v>
      </c>
      <c r="AW83">
        <v>598</v>
      </c>
      <c r="AX83">
        <v>45</v>
      </c>
      <c r="AY83">
        <v>1432</v>
      </c>
      <c r="AZ83">
        <v>827</v>
      </c>
      <c r="BA83">
        <v>526</v>
      </c>
      <c r="BB83">
        <v>53</v>
      </c>
      <c r="BC83">
        <v>1286</v>
      </c>
      <c r="BD83">
        <v>673</v>
      </c>
      <c r="BE83">
        <v>365</v>
      </c>
      <c r="BF83">
        <v>62</v>
      </c>
      <c r="BG83" s="6">
        <f>((AU83-BC83)/AU83)*100</f>
        <v>11.003460207612457</v>
      </c>
      <c r="BH83" s="6">
        <f>((AV83-BD83)/AV83)*100</f>
        <v>21.101992966002346</v>
      </c>
      <c r="BI83" s="6"/>
    </row>
    <row r="84" spans="1:61" hidden="1">
      <c r="A84" t="s">
        <v>47</v>
      </c>
      <c r="B84" s="5">
        <v>44348</v>
      </c>
      <c r="C84" s="6">
        <v>77.8</v>
      </c>
      <c r="D84" s="7"/>
      <c r="E84" s="7">
        <v>1438</v>
      </c>
      <c r="F84" s="6">
        <f>PowerProfiling[[#This Row],[IL Peak Power (W)]]/PowerProfiling[[#This Row],[Rider Weight]]</f>
        <v>18.483290488431876</v>
      </c>
      <c r="G84" s="7">
        <v>116.5</v>
      </c>
      <c r="H84" s="7">
        <v>242.5</v>
      </c>
      <c r="I84" s="7">
        <v>225</v>
      </c>
      <c r="L84" s="6"/>
      <c r="M84" s="6"/>
      <c r="Q84" s="7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9"/>
      <c r="AT84" s="8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idden="1">
      <c r="A85" t="s">
        <v>47</v>
      </c>
      <c r="B85" s="5">
        <v>43739</v>
      </c>
      <c r="C85" s="6">
        <v>72.400000000000006</v>
      </c>
      <c r="D85" s="7">
        <v>96</v>
      </c>
      <c r="E85" s="7">
        <v>1396</v>
      </c>
      <c r="F85" s="6">
        <f>PowerProfiling[[#This Row],[IL Peak Power (W)]]/PowerProfiling[[#This Row],[Rider Weight]]</f>
        <v>19.281767955801104</v>
      </c>
      <c r="G85" s="7">
        <f>PowerProfiling[[#This Row],[IL Max Cadence (RPM)]]*0.5</f>
        <v>129</v>
      </c>
      <c r="H85" s="7">
        <v>199</v>
      </c>
      <c r="I85">
        <v>258</v>
      </c>
      <c r="J85" s="8">
        <v>34.659999999999997</v>
      </c>
      <c r="K85">
        <v>1382</v>
      </c>
      <c r="L85" s="6">
        <f>PowerProfiling[[#This Row],[S500Peak Power]]/PowerProfiling[[#This Row],[Rider Weight]]</f>
        <v>19.088397790055247</v>
      </c>
      <c r="M85" s="6">
        <v>50</v>
      </c>
      <c r="N85">
        <v>1223</v>
      </c>
      <c r="O85">
        <v>995</v>
      </c>
      <c r="P85">
        <v>840</v>
      </c>
      <c r="Q85" s="8"/>
      <c r="R85">
        <v>81.5</v>
      </c>
      <c r="S85">
        <v>106.5</v>
      </c>
      <c r="T85">
        <v>124</v>
      </c>
      <c r="U85">
        <v>137.5</v>
      </c>
      <c r="V85">
        <v>148</v>
      </c>
      <c r="W85">
        <v>157</v>
      </c>
      <c r="X85">
        <v>177.5</v>
      </c>
      <c r="Y85">
        <v>194.5</v>
      </c>
      <c r="Z85">
        <v>1106.5</v>
      </c>
      <c r="AA85">
        <v>1378.5</v>
      </c>
      <c r="AB85">
        <v>1417</v>
      </c>
      <c r="AC85">
        <v>1427</v>
      </c>
      <c r="AD85">
        <v>1376.5</v>
      </c>
      <c r="AE85">
        <v>1344.5</v>
      </c>
      <c r="AF85">
        <v>1215</v>
      </c>
      <c r="AG85">
        <v>982.5</v>
      </c>
      <c r="AH85" s="6">
        <f t="shared" ref="AH85:AO85" si="26">Z85/(R85*(PI()/30))</f>
        <v>129.64781192479671</v>
      </c>
      <c r="AI85" s="6">
        <f t="shared" si="26"/>
        <v>123.60286707164943</v>
      </c>
      <c r="AJ85" s="6">
        <f t="shared" si="26"/>
        <v>109.1238166263947</v>
      </c>
      <c r="AK85" s="6">
        <f t="shared" si="26"/>
        <v>99.104336200204216</v>
      </c>
      <c r="AL85" s="6">
        <f t="shared" si="26"/>
        <v>88.814910472700248</v>
      </c>
      <c r="AM85" s="6">
        <f t="shared" si="26"/>
        <v>81.777256428173231</v>
      </c>
      <c r="AN85" s="6">
        <f t="shared" si="26"/>
        <v>65.36560761351646</v>
      </c>
      <c r="AO85" s="6">
        <f t="shared" si="26"/>
        <v>48.237449332993478</v>
      </c>
      <c r="AP85" s="6">
        <v>22.4</v>
      </c>
      <c r="AQ85" s="6">
        <v>1001.8</v>
      </c>
      <c r="AR85" s="6">
        <v>51.2</v>
      </c>
      <c r="AS85" s="9">
        <v>1.1859999999999999</v>
      </c>
      <c r="AT85" s="8">
        <v>34.590000000000003</v>
      </c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idden="1">
      <c r="A86" t="s">
        <v>59</v>
      </c>
      <c r="B86" s="5">
        <v>44036</v>
      </c>
      <c r="C86" s="3">
        <v>81.400000000000006</v>
      </c>
      <c r="D86" s="4">
        <v>100</v>
      </c>
      <c r="E86" s="4">
        <v>1372</v>
      </c>
      <c r="F86" s="6">
        <f>PowerProfiling[[#This Row],[IL Peak Power (W)]]/PowerProfiling[[#This Row],[Rider Weight]]</f>
        <v>16.855036855036854</v>
      </c>
      <c r="G86" s="7">
        <f>PowerProfiling[[#This Row],[IL Max Cadence (RPM)]]*0.5</f>
        <v>129.5</v>
      </c>
      <c r="H86" s="7">
        <v>193</v>
      </c>
      <c r="I86">
        <v>259</v>
      </c>
      <c r="K86">
        <v>1365</v>
      </c>
      <c r="L86" s="6">
        <f>PowerProfiling[[#This Row],[S500Peak Power]]/PowerProfiling[[#This Row],[Rider Weight]]</f>
        <v>16.769041769041767</v>
      </c>
      <c r="M86" s="6"/>
      <c r="N86">
        <v>1238</v>
      </c>
      <c r="O86">
        <v>1036</v>
      </c>
      <c r="Q86" s="7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9"/>
      <c r="AT86" s="8"/>
      <c r="AU86">
        <v>1365</v>
      </c>
      <c r="AV86">
        <v>873</v>
      </c>
      <c r="AW86">
        <v>638</v>
      </c>
      <c r="AX86">
        <v>42</v>
      </c>
      <c r="AY86">
        <v>1352</v>
      </c>
      <c r="AZ86">
        <v>835</v>
      </c>
      <c r="BA86">
        <v>586</v>
      </c>
      <c r="BB86">
        <v>45</v>
      </c>
      <c r="BC86">
        <v>1236</v>
      </c>
      <c r="BD86">
        <v>682</v>
      </c>
      <c r="BE86">
        <v>421</v>
      </c>
      <c r="BF86">
        <v>56</v>
      </c>
      <c r="BG86" s="6">
        <f t="shared" ref="BG86:BH89" si="27">((AU86-BC86)/AU86)*100</f>
        <v>9.4505494505494507</v>
      </c>
      <c r="BH86" s="6">
        <f t="shared" si="27"/>
        <v>21.878579610538374</v>
      </c>
      <c r="BI86" s="6"/>
    </row>
    <row r="87" spans="1:61" hidden="1">
      <c r="A87" t="s">
        <v>59</v>
      </c>
      <c r="B87" s="5">
        <v>44235</v>
      </c>
      <c r="C87" s="3">
        <v>82.1</v>
      </c>
      <c r="D87" s="4">
        <v>100</v>
      </c>
      <c r="E87" s="4">
        <v>1367</v>
      </c>
      <c r="F87" s="6">
        <f>PowerProfiling[[#This Row],[IL Peak Power (W)]]/PowerProfiling[[#This Row],[Rider Weight]]</f>
        <v>16.650426309378808</v>
      </c>
      <c r="G87" s="7">
        <f>PowerProfiling[[#This Row],[IL Max Cadence (RPM)]]*0.5</f>
        <v>133.5</v>
      </c>
      <c r="H87" s="7">
        <v>187</v>
      </c>
      <c r="I87">
        <v>267</v>
      </c>
      <c r="K87">
        <v>1342</v>
      </c>
      <c r="L87" s="6">
        <f>PowerProfiling[[#This Row],[S500Peak Power]]/PowerProfiling[[#This Row],[Rider Weight]]</f>
        <v>16.345919610231427</v>
      </c>
      <c r="M87" s="6"/>
      <c r="N87">
        <v>1242</v>
      </c>
      <c r="O87">
        <v>1050</v>
      </c>
      <c r="Q87" s="7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9"/>
      <c r="AT87" s="8"/>
      <c r="AU87" s="7">
        <v>1342</v>
      </c>
      <c r="AV87" s="7">
        <v>874</v>
      </c>
      <c r="AW87" s="7">
        <v>609</v>
      </c>
      <c r="AX87" s="7">
        <v>43</v>
      </c>
      <c r="AY87" s="7">
        <v>1282</v>
      </c>
      <c r="AZ87" s="7">
        <v>838</v>
      </c>
      <c r="BA87" s="7">
        <v>614</v>
      </c>
      <c r="BB87" s="7">
        <v>40</v>
      </c>
      <c r="BC87" s="7">
        <v>1058</v>
      </c>
      <c r="BD87" s="7">
        <v>615</v>
      </c>
      <c r="BE87" s="7">
        <v>385</v>
      </c>
      <c r="BF87" s="7">
        <v>54</v>
      </c>
      <c r="BG87" s="6">
        <f t="shared" si="27"/>
        <v>21.162444113263785</v>
      </c>
      <c r="BH87" s="6">
        <f t="shared" si="27"/>
        <v>29.633867276887869</v>
      </c>
      <c r="BI87" s="6"/>
    </row>
    <row r="88" spans="1:61" hidden="1">
      <c r="A88" t="s">
        <v>59</v>
      </c>
      <c r="B88" s="5">
        <v>44097</v>
      </c>
      <c r="C88" s="3">
        <v>81.900000000000006</v>
      </c>
      <c r="D88" s="7">
        <v>100</v>
      </c>
      <c r="E88" s="4">
        <v>1366</v>
      </c>
      <c r="F88" s="6">
        <f>PowerProfiling[[#This Row],[IL Peak Power (W)]]/PowerProfiling[[#This Row],[Rider Weight]]</f>
        <v>16.678876678876676</v>
      </c>
      <c r="G88" s="7">
        <f>PowerProfiling[[#This Row],[IL Max Cadence (RPM)]]*0.5</f>
        <v>130</v>
      </c>
      <c r="H88" s="7">
        <v>192</v>
      </c>
      <c r="I88">
        <v>260</v>
      </c>
      <c r="K88">
        <v>1374</v>
      </c>
      <c r="L88" s="6">
        <f>PowerProfiling[[#This Row],[S500Peak Power]]/PowerProfiling[[#This Row],[Rider Weight]]</f>
        <v>16.776556776556774</v>
      </c>
      <c r="M88" s="6"/>
      <c r="N88">
        <v>1241</v>
      </c>
      <c r="O88">
        <v>1048</v>
      </c>
      <c r="Q88" s="7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9"/>
      <c r="AT88" s="8"/>
      <c r="AU88">
        <v>1374</v>
      </c>
      <c r="AV88">
        <v>875</v>
      </c>
      <c r="AW88">
        <v>627</v>
      </c>
      <c r="AX88">
        <v>43</v>
      </c>
      <c r="AY88">
        <v>1304</v>
      </c>
      <c r="AZ88">
        <v>804</v>
      </c>
      <c r="BA88">
        <v>566</v>
      </c>
      <c r="BB88">
        <v>45</v>
      </c>
      <c r="BC88">
        <v>1140</v>
      </c>
      <c r="BD88">
        <v>651</v>
      </c>
      <c r="BE88">
        <v>393</v>
      </c>
      <c r="BF88">
        <v>56</v>
      </c>
      <c r="BG88" s="6">
        <f t="shared" si="27"/>
        <v>17.030567685589521</v>
      </c>
      <c r="BH88" s="6">
        <f t="shared" si="27"/>
        <v>25.6</v>
      </c>
      <c r="BI88" s="6"/>
    </row>
    <row r="89" spans="1:61" hidden="1">
      <c r="A89" t="s">
        <v>59</v>
      </c>
      <c r="B89" s="5">
        <v>44204</v>
      </c>
      <c r="C89" s="6">
        <v>82.7</v>
      </c>
      <c r="D89" s="7">
        <v>100</v>
      </c>
      <c r="E89" s="7">
        <v>1358</v>
      </c>
      <c r="F89" s="6">
        <f>PowerProfiling[[#This Row],[IL Peak Power (W)]]/PowerProfiling[[#This Row],[Rider Weight]]</f>
        <v>16.42079806529625</v>
      </c>
      <c r="G89" s="7">
        <f>PowerProfiling[[#This Row],[IL Max Cadence (RPM)]]*0.5</f>
        <v>130</v>
      </c>
      <c r="H89" s="7">
        <v>191</v>
      </c>
      <c r="I89">
        <v>260</v>
      </c>
      <c r="K89">
        <v>1355</v>
      </c>
      <c r="L89" s="6">
        <f>PowerProfiling[[#This Row],[S500Peak Power]]/PowerProfiling[[#This Row],[Rider Weight]]</f>
        <v>16.384522370012093</v>
      </c>
      <c r="M89" s="6"/>
      <c r="N89">
        <v>1230</v>
      </c>
      <c r="O89">
        <v>1035</v>
      </c>
      <c r="Q89" s="7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9"/>
      <c r="AT89" s="8"/>
      <c r="AU89">
        <v>1355</v>
      </c>
      <c r="AV89">
        <v>855</v>
      </c>
      <c r="AW89">
        <v>581</v>
      </c>
      <c r="AX89">
        <v>46</v>
      </c>
      <c r="AY89">
        <v>1199</v>
      </c>
      <c r="AZ89">
        <v>771</v>
      </c>
      <c r="BA89">
        <v>517</v>
      </c>
      <c r="BB89">
        <v>47</v>
      </c>
      <c r="BC89">
        <v>1185</v>
      </c>
      <c r="BD89">
        <v>691</v>
      </c>
      <c r="BE89">
        <v>453</v>
      </c>
      <c r="BF89">
        <v>50</v>
      </c>
      <c r="BG89" s="6">
        <f t="shared" si="27"/>
        <v>12.546125461254611</v>
      </c>
      <c r="BH89" s="6">
        <f t="shared" si="27"/>
        <v>19.1812865497076</v>
      </c>
      <c r="BI89" s="6"/>
    </row>
    <row r="90" spans="1:61" hidden="1">
      <c r="A90" t="s">
        <v>47</v>
      </c>
      <c r="B90" s="5">
        <v>43655</v>
      </c>
      <c r="C90" s="3">
        <v>73.8</v>
      </c>
      <c r="D90" s="4">
        <v>96</v>
      </c>
      <c r="E90" s="4">
        <v>1351</v>
      </c>
      <c r="F90" s="6">
        <f>PowerProfiling[[#This Row],[IL Peak Power (W)]]/PowerProfiling[[#This Row],[Rider Weight]]</f>
        <v>18.306233062330623</v>
      </c>
      <c r="G90" s="7">
        <f>PowerProfiling[[#This Row],[IL Max Cadence (RPM)]]*0.5</f>
        <v>126</v>
      </c>
      <c r="H90" s="7">
        <v>194</v>
      </c>
      <c r="I90">
        <v>252</v>
      </c>
      <c r="J90" s="8">
        <v>35.520000000000003</v>
      </c>
      <c r="K90" s="7">
        <v>1388</v>
      </c>
      <c r="L90" s="6">
        <f>PowerProfiling[[#This Row],[S500Peak Power]]/PowerProfiling[[#This Row],[Rider Weight]]</f>
        <v>18.807588075880759</v>
      </c>
      <c r="M90" s="6">
        <v>79</v>
      </c>
      <c r="N90">
        <v>1198</v>
      </c>
      <c r="O90">
        <v>959</v>
      </c>
      <c r="P90" s="7">
        <v>802</v>
      </c>
      <c r="Q90" s="8"/>
      <c r="R90">
        <v>77.5</v>
      </c>
      <c r="S90">
        <v>103.5</v>
      </c>
      <c r="T90">
        <v>121.5</v>
      </c>
      <c r="U90">
        <v>135</v>
      </c>
      <c r="V90">
        <v>150.5</v>
      </c>
      <c r="W90">
        <v>163</v>
      </c>
      <c r="X90">
        <v>172.5</v>
      </c>
      <c r="Y90">
        <v>193</v>
      </c>
      <c r="Z90">
        <v>1031.5</v>
      </c>
      <c r="AA90">
        <v>1318.5</v>
      </c>
      <c r="AB90">
        <v>1370</v>
      </c>
      <c r="AC90">
        <v>1415</v>
      </c>
      <c r="AD90">
        <v>1330.5</v>
      </c>
      <c r="AE90">
        <v>1245.5</v>
      </c>
      <c r="AF90">
        <v>1158</v>
      </c>
      <c r="AG90">
        <v>919</v>
      </c>
      <c r="AH90" s="6">
        <f t="shared" ref="AH90:AO90" si="28">Z90/(R90*(PI()/30))</f>
        <v>127.09805713493424</v>
      </c>
      <c r="AI90" s="6">
        <f t="shared" si="28"/>
        <v>121.64973476328349</v>
      </c>
      <c r="AJ90" s="6">
        <f t="shared" si="28"/>
        <v>107.67519606710945</v>
      </c>
      <c r="AK90" s="6">
        <f t="shared" si="28"/>
        <v>100.09077532223641</v>
      </c>
      <c r="AL90" s="6">
        <f t="shared" si="28"/>
        <v>84.420857853993397</v>
      </c>
      <c r="AM90" s="6">
        <f t="shared" si="28"/>
        <v>72.967171148818025</v>
      </c>
      <c r="AN90" s="6">
        <f t="shared" si="28"/>
        <v>64.104843165361672</v>
      </c>
      <c r="AO90" s="6">
        <f t="shared" si="28"/>
        <v>45.470484777653411</v>
      </c>
      <c r="AP90" s="6">
        <v>22.7</v>
      </c>
      <c r="AQ90" s="6">
        <v>1006</v>
      </c>
      <c r="AR90" s="6">
        <v>46</v>
      </c>
      <c r="AS90" s="9">
        <v>1.179</v>
      </c>
      <c r="AT90" s="8">
        <v>35.409999999999997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idden="1">
      <c r="A91" t="s">
        <v>59</v>
      </c>
      <c r="B91" s="5">
        <v>44140</v>
      </c>
      <c r="C91" s="6">
        <v>82.6</v>
      </c>
      <c r="D91" s="7">
        <v>100</v>
      </c>
      <c r="E91" s="7">
        <v>1345</v>
      </c>
      <c r="F91" s="6">
        <f>PowerProfiling[[#This Row],[IL Peak Power (W)]]/PowerProfiling[[#This Row],[Rider Weight]]</f>
        <v>16.283292978208234</v>
      </c>
      <c r="G91" s="7">
        <f>PowerProfiling[[#This Row],[IL Max Cadence (RPM)]]*0.5</f>
        <v>130.5</v>
      </c>
      <c r="H91" s="7">
        <v>186</v>
      </c>
      <c r="I91">
        <v>261</v>
      </c>
      <c r="K91">
        <v>1341</v>
      </c>
      <c r="L91" s="6">
        <f>PowerProfiling[[#This Row],[S500Peak Power]]/PowerProfiling[[#This Row],[Rider Weight]]</f>
        <v>16.234866828087167</v>
      </c>
      <c r="M91" s="6"/>
      <c r="N91">
        <v>1230</v>
      </c>
      <c r="O91">
        <v>1043</v>
      </c>
      <c r="Q91" s="7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9"/>
      <c r="AT91" s="8"/>
      <c r="AU91">
        <v>1341</v>
      </c>
      <c r="AV91">
        <v>875</v>
      </c>
      <c r="AW91">
        <v>640</v>
      </c>
      <c r="AX91">
        <v>40</v>
      </c>
      <c r="AY91">
        <v>1257</v>
      </c>
      <c r="AZ91">
        <v>824</v>
      </c>
      <c r="BA91">
        <v>590</v>
      </c>
      <c r="BB91">
        <v>43</v>
      </c>
      <c r="BC91">
        <v>1051</v>
      </c>
      <c r="BD91">
        <v>634</v>
      </c>
      <c r="BE91">
        <v>380</v>
      </c>
      <c r="BF91">
        <v>55</v>
      </c>
      <c r="BG91" s="6">
        <f>((AU91-BC91)/AU91)*100</f>
        <v>21.625652498135718</v>
      </c>
      <c r="BH91" s="6">
        <f>((AV91-BD91)/AV91)*100</f>
        <v>27.542857142857141</v>
      </c>
      <c r="BI91" s="6"/>
    </row>
    <row r="92" spans="1:61" hidden="1">
      <c r="A92" t="s">
        <v>47</v>
      </c>
      <c r="B92" s="5">
        <v>43472</v>
      </c>
      <c r="C92" s="6">
        <v>72.900000000000006</v>
      </c>
      <c r="D92" s="7">
        <v>96</v>
      </c>
      <c r="E92" s="7">
        <v>1342</v>
      </c>
      <c r="F92" s="6">
        <f>PowerProfiling[[#This Row],[IL Peak Power (W)]]/PowerProfiling[[#This Row],[Rider Weight]]</f>
        <v>18.408779149519887</v>
      </c>
      <c r="G92" s="7">
        <f>PowerProfiling[[#This Row],[IL Max Cadence (RPM)]]*0.5</f>
        <v>123.5</v>
      </c>
      <c r="H92" s="7">
        <v>198</v>
      </c>
      <c r="I92">
        <v>247</v>
      </c>
      <c r="J92" s="8">
        <v>34.51</v>
      </c>
      <c r="K92">
        <v>1372</v>
      </c>
      <c r="L92" s="6">
        <f>PowerProfiling[[#This Row],[S500Peak Power]]/PowerProfiling[[#This Row],[Rider Weight]]</f>
        <v>18.820301783264746</v>
      </c>
      <c r="M92" s="6">
        <v>60</v>
      </c>
      <c r="N92">
        <v>1223</v>
      </c>
      <c r="O92">
        <v>1007</v>
      </c>
      <c r="P92">
        <v>853</v>
      </c>
      <c r="Q92" s="8">
        <f>((PowerProfiling[[#This Row],[S500Peak Power]]-PowerProfiling[[#This Row],[30s MMP]])/PowerProfiling[[#This Row],[S500Peak Power]])*100</f>
        <v>37.827988338192419</v>
      </c>
      <c r="R92">
        <v>79</v>
      </c>
      <c r="S92">
        <v>104.5</v>
      </c>
      <c r="T92">
        <v>121.5</v>
      </c>
      <c r="U92">
        <v>135</v>
      </c>
      <c r="V92">
        <v>145.5</v>
      </c>
      <c r="W92">
        <v>158</v>
      </c>
      <c r="X92">
        <v>172</v>
      </c>
      <c r="Y92">
        <v>190.5</v>
      </c>
      <c r="Z92">
        <v>1075</v>
      </c>
      <c r="AA92">
        <v>1297</v>
      </c>
      <c r="AB92">
        <v>1362.5</v>
      </c>
      <c r="AC92">
        <v>1369.5</v>
      </c>
      <c r="AD92">
        <v>1345</v>
      </c>
      <c r="AE92">
        <v>1275</v>
      </c>
      <c r="AF92">
        <v>1145.5</v>
      </c>
      <c r="AG92">
        <v>881</v>
      </c>
      <c r="AH92" s="6">
        <f t="shared" ref="AH92:AO94" si="29">Z92/(R92*(PI()/30))</f>
        <v>129.94295986616774</v>
      </c>
      <c r="AI92" s="6">
        <f t="shared" si="29"/>
        <v>118.52093465465354</v>
      </c>
      <c r="AJ92" s="6">
        <f t="shared" si="29"/>
        <v>107.08573331491725</v>
      </c>
      <c r="AK92" s="6">
        <f t="shared" si="29"/>
        <v>96.872308695266966</v>
      </c>
      <c r="AL92" s="6">
        <f t="shared" si="29"/>
        <v>88.273566374680101</v>
      </c>
      <c r="AM92" s="6">
        <f t="shared" si="29"/>
        <v>77.059197129936678</v>
      </c>
      <c r="AN92" s="6">
        <f t="shared" si="29"/>
        <v>63.597204876197488</v>
      </c>
      <c r="AO92" s="6">
        <f t="shared" si="29"/>
        <v>44.162363736680255</v>
      </c>
      <c r="AP92" s="6">
        <v>27</v>
      </c>
      <c r="AQ92" s="6">
        <v>1011</v>
      </c>
      <c r="AR92" s="6">
        <v>57</v>
      </c>
      <c r="AS92" s="9">
        <v>1.165</v>
      </c>
      <c r="AT92" s="8">
        <v>34.549999999999997</v>
      </c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idden="1">
      <c r="A93" t="s">
        <v>47</v>
      </c>
      <c r="B93" s="5">
        <v>43430</v>
      </c>
      <c r="C93" s="6">
        <v>73</v>
      </c>
      <c r="D93" s="7">
        <v>96</v>
      </c>
      <c r="E93" s="7">
        <v>1304.1555999999998</v>
      </c>
      <c r="F93" s="6">
        <f>PowerProfiling[[#This Row],[IL Peak Power (W)]]/PowerProfiling[[#This Row],[Rider Weight]]</f>
        <v>17.86514520547945</v>
      </c>
      <c r="G93" s="7">
        <f>PowerProfiling[[#This Row],[IL Max Cadence (RPM)]]*0.5</f>
        <v>122</v>
      </c>
      <c r="H93" s="7">
        <v>196.68910058767432</v>
      </c>
      <c r="I93" s="7">
        <v>244</v>
      </c>
      <c r="J93">
        <v>34.86</v>
      </c>
      <c r="K93">
        <v>1398</v>
      </c>
      <c r="L93" s="6">
        <f>PowerProfiling[[#This Row],[S500Peak Power]]/PowerProfiling[[#This Row],[Rider Weight]]</f>
        <v>19.150684931506849</v>
      </c>
      <c r="M93" s="6">
        <v>76</v>
      </c>
      <c r="N93">
        <v>1241</v>
      </c>
      <c r="O93">
        <v>1006</v>
      </c>
      <c r="P93">
        <v>847</v>
      </c>
      <c r="Q93" s="8">
        <f>((PowerProfiling[[#This Row],[S500Peak Power]]-PowerProfiling[[#This Row],[30s MMP]])/PowerProfiling[[#This Row],[S500Peak Power]])*100</f>
        <v>39.413447782546498</v>
      </c>
      <c r="R93">
        <v>79</v>
      </c>
      <c r="S93">
        <v>120</v>
      </c>
      <c r="T93">
        <v>133</v>
      </c>
      <c r="U93">
        <v>152</v>
      </c>
      <c r="V93">
        <v>160</v>
      </c>
      <c r="W93">
        <v>171</v>
      </c>
      <c r="X93">
        <v>181</v>
      </c>
      <c r="Y93">
        <v>189</v>
      </c>
      <c r="Z93">
        <v>1076</v>
      </c>
      <c r="AA93">
        <v>1328</v>
      </c>
      <c r="AB93">
        <v>1318</v>
      </c>
      <c r="AC93">
        <v>1252</v>
      </c>
      <c r="AD93">
        <v>1208</v>
      </c>
      <c r="AE93">
        <v>1074</v>
      </c>
      <c r="AF93">
        <v>997</v>
      </c>
      <c r="AG93">
        <v>898</v>
      </c>
      <c r="AH93" s="6">
        <f t="shared" si="29"/>
        <v>130.06383703813626</v>
      </c>
      <c r="AI93" s="6">
        <f t="shared" si="29"/>
        <v>105.67888221301851</v>
      </c>
      <c r="AJ93" s="6">
        <f t="shared" si="29"/>
        <v>94.631375185767553</v>
      </c>
      <c r="AK93" s="6">
        <f t="shared" si="29"/>
        <v>78.656048191205116</v>
      </c>
      <c r="AL93" s="6">
        <f t="shared" si="29"/>
        <v>72.097189220628593</v>
      </c>
      <c r="AM93" s="6">
        <f t="shared" si="29"/>
        <v>59.976283817787937</v>
      </c>
      <c r="AN93" s="6">
        <f t="shared" si="29"/>
        <v>52.600269037332481</v>
      </c>
      <c r="AO93" s="6">
        <f t="shared" si="29"/>
        <v>45.371790125880011</v>
      </c>
      <c r="AP93" s="6">
        <v>25.2</v>
      </c>
      <c r="AQ93" s="6">
        <v>994</v>
      </c>
      <c r="AR93" s="6">
        <v>54</v>
      </c>
      <c r="AS93" s="9">
        <v>1.1859999999999999</v>
      </c>
      <c r="AT93" s="8">
        <v>35.01</v>
      </c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idden="1">
      <c r="A94" t="s">
        <v>47</v>
      </c>
      <c r="B94" s="5">
        <v>43563</v>
      </c>
      <c r="C94" s="3">
        <v>73</v>
      </c>
      <c r="D94" s="4">
        <v>96</v>
      </c>
      <c r="E94" s="4">
        <v>1276</v>
      </c>
      <c r="F94" s="6">
        <f>PowerProfiling[[#This Row],[IL Peak Power (W)]]/PowerProfiling[[#This Row],[Rider Weight]]</f>
        <v>17.479452054794521</v>
      </c>
      <c r="G94" s="7">
        <f>PowerProfiling[[#This Row],[IL Max Cadence (RPM)]]*0.5</f>
        <v>123</v>
      </c>
      <c r="H94" s="7">
        <v>189</v>
      </c>
      <c r="I94">
        <v>246</v>
      </c>
      <c r="J94" s="8">
        <v>34.96</v>
      </c>
      <c r="K94">
        <v>1389</v>
      </c>
      <c r="L94" s="6">
        <f>PowerProfiling[[#This Row],[S500Peak Power]]/PowerProfiling[[#This Row],[Rider Weight]]</f>
        <v>19.027397260273972</v>
      </c>
      <c r="M94" s="6">
        <v>65</v>
      </c>
      <c r="N94">
        <v>1219</v>
      </c>
      <c r="O94">
        <v>981</v>
      </c>
      <c r="P94">
        <v>839</v>
      </c>
      <c r="Q94" s="8">
        <f>((PowerProfiling[[#This Row],[S500Peak Power]]-PowerProfiling[[#This Row],[30s MMP]])/PowerProfiling[[#This Row],[S500Peak Power]])*100</f>
        <v>39.596832253419727</v>
      </c>
      <c r="R94">
        <v>78</v>
      </c>
      <c r="S94">
        <v>103</v>
      </c>
      <c r="T94">
        <v>120</v>
      </c>
      <c r="U94">
        <v>133</v>
      </c>
      <c r="V94">
        <v>152</v>
      </c>
      <c r="W94">
        <v>172.5</v>
      </c>
      <c r="X94">
        <v>182</v>
      </c>
      <c r="Y94">
        <v>190</v>
      </c>
      <c r="Z94">
        <v>1001.5</v>
      </c>
      <c r="AA94">
        <v>1255.5</v>
      </c>
      <c r="AB94">
        <v>1298</v>
      </c>
      <c r="AC94">
        <v>1313</v>
      </c>
      <c r="AD94">
        <v>1240</v>
      </c>
      <c r="AE94">
        <v>1091</v>
      </c>
      <c r="AF94">
        <v>969.5</v>
      </c>
      <c r="AG94">
        <v>870.5</v>
      </c>
      <c r="AH94" s="6">
        <f t="shared" si="29"/>
        <v>122.61051962041014</v>
      </c>
      <c r="AI94" s="6">
        <f t="shared" si="29"/>
        <v>116.39943556419881</v>
      </c>
      <c r="AJ94" s="6">
        <f t="shared" si="29"/>
        <v>103.29155806664008</v>
      </c>
      <c r="AK94" s="6">
        <f t="shared" si="29"/>
        <v>94.272379073530203</v>
      </c>
      <c r="AL94" s="6">
        <f t="shared" si="29"/>
        <v>77.902156355506676</v>
      </c>
      <c r="AM94" s="6">
        <f t="shared" si="29"/>
        <v>60.39584101330707</v>
      </c>
      <c r="AN94" s="6">
        <f t="shared" si="29"/>
        <v>50.868368349755784</v>
      </c>
      <c r="AO94" s="6">
        <f t="shared" si="29"/>
        <v>43.750856198366812</v>
      </c>
      <c r="AP94" s="6">
        <v>25.3</v>
      </c>
      <c r="AQ94" s="6">
        <v>1008</v>
      </c>
      <c r="AR94" s="6">
        <v>42</v>
      </c>
      <c r="AS94" s="9">
        <v>1.171</v>
      </c>
      <c r="AT94" s="8">
        <v>34.94</v>
      </c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idden="1">
      <c r="A95" t="s">
        <v>43</v>
      </c>
      <c r="B95" s="5">
        <v>44348</v>
      </c>
      <c r="C95" s="3">
        <v>81</v>
      </c>
      <c r="D95" s="4"/>
      <c r="E95" s="4">
        <v>1274.5</v>
      </c>
      <c r="F95" s="6">
        <f>PowerProfiling[[#This Row],[IL Peak Power (W)]]/PowerProfiling[[#This Row],[Rider Weight]]</f>
        <v>15.734567901234568</v>
      </c>
      <c r="G95" s="7">
        <v>121</v>
      </c>
      <c r="H95" s="7">
        <v>204</v>
      </c>
      <c r="I95" s="7">
        <v>235.5</v>
      </c>
      <c r="L95" s="6"/>
      <c r="M95" s="6"/>
      <c r="Q95" s="7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9"/>
      <c r="AT95" s="8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idden="1">
      <c r="A96" t="s">
        <v>50</v>
      </c>
      <c r="B96" s="5">
        <v>44509</v>
      </c>
      <c r="C96" s="6">
        <v>64.099999999999994</v>
      </c>
      <c r="D96" s="7">
        <v>96</v>
      </c>
      <c r="E96" s="7">
        <v>1260</v>
      </c>
      <c r="F96" s="6">
        <f>PowerProfiling[[#This Row],[IL Peak Power (W)]]/PowerProfiling[[#This Row],[Rider Weight]]</f>
        <v>19.656786271450859</v>
      </c>
      <c r="G96" s="7">
        <v>116.5</v>
      </c>
      <c r="H96" s="7">
        <v>211</v>
      </c>
      <c r="I96" s="7">
        <v>232.5</v>
      </c>
      <c r="L96" s="6"/>
      <c r="M96" s="6"/>
      <c r="Q96" s="7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9"/>
      <c r="AT96" s="8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idden="1">
      <c r="A97" t="s">
        <v>51</v>
      </c>
      <c r="B97" s="5">
        <v>44509</v>
      </c>
      <c r="C97" s="6">
        <v>69.900000000000006</v>
      </c>
      <c r="D97" s="7">
        <v>96</v>
      </c>
      <c r="E97" s="7">
        <v>1251</v>
      </c>
      <c r="F97" s="6">
        <f>PowerProfiling[[#This Row],[IL Peak Power (W)]]/PowerProfiling[[#This Row],[Rider Weight]]</f>
        <v>17.896995708154506</v>
      </c>
      <c r="G97" s="7">
        <v>115</v>
      </c>
      <c r="H97" s="7">
        <v>208</v>
      </c>
      <c r="I97" s="7">
        <v>226.5</v>
      </c>
      <c r="J97">
        <v>36.21</v>
      </c>
      <c r="K97">
        <v>1078</v>
      </c>
      <c r="L97" s="6">
        <f>PowerProfiling[[#This Row],[S500Peak Power]]/PowerProfiling[[#This Row],[Rider Weight]]</f>
        <v>15.422031473533618</v>
      </c>
      <c r="M97" s="6">
        <v>75</v>
      </c>
      <c r="N97">
        <v>958</v>
      </c>
      <c r="O97">
        <v>759</v>
      </c>
      <c r="P97">
        <v>642</v>
      </c>
      <c r="Q97" s="7">
        <f>((PowerProfiling[[#This Row],[S500Peak Power]]-PowerProfiling[[#This Row],[30s MMP]])/PowerProfiling[[#This Row],[S500Peak Power]])*100</f>
        <v>40.445269016697587</v>
      </c>
      <c r="AH97" s="6"/>
      <c r="AI97" s="6"/>
      <c r="AJ97" s="6"/>
      <c r="AK97" s="6"/>
      <c r="AL97" s="6"/>
      <c r="AM97" s="6"/>
      <c r="AN97" s="6"/>
      <c r="AO97" s="6"/>
      <c r="AP97" s="6">
        <v>26.2</v>
      </c>
      <c r="AQ97" s="6">
        <v>1011</v>
      </c>
      <c r="AR97" s="6">
        <v>53</v>
      </c>
      <c r="AS97" s="9">
        <v>1.169</v>
      </c>
      <c r="AT97" s="8">
        <v>36.21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idden="1">
      <c r="A98" t="s">
        <v>43</v>
      </c>
      <c r="B98" s="5">
        <v>44140</v>
      </c>
      <c r="C98" s="3">
        <v>80.8</v>
      </c>
      <c r="D98" s="4">
        <v>100</v>
      </c>
      <c r="E98" s="4">
        <v>1238</v>
      </c>
      <c r="F98" s="6">
        <f>PowerProfiling[[#This Row],[IL Peak Power (W)]]/PowerProfiling[[#This Row],[Rider Weight]]</f>
        <v>15.321782178217822</v>
      </c>
      <c r="G98" s="7">
        <f>PowerProfiling[[#This Row],[IL Max Cadence (RPM)]]*0.5</f>
        <v>131</v>
      </c>
      <c r="H98" s="7">
        <v>176</v>
      </c>
      <c r="I98">
        <v>262</v>
      </c>
      <c r="K98">
        <v>1368</v>
      </c>
      <c r="L98" s="6">
        <f>PowerProfiling[[#This Row],[S500Peak Power]]/PowerProfiling[[#This Row],[Rider Weight]]</f>
        <v>16.93069306930693</v>
      </c>
      <c r="M98" s="6"/>
      <c r="N98">
        <v>1224</v>
      </c>
      <c r="O98">
        <v>1027</v>
      </c>
      <c r="Q98" s="7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9"/>
      <c r="AT98" s="8"/>
      <c r="AU98">
        <v>1368</v>
      </c>
      <c r="AV98">
        <v>871</v>
      </c>
      <c r="AW98">
        <v>652</v>
      </c>
      <c r="AX98">
        <v>40</v>
      </c>
      <c r="AY98">
        <v>1327</v>
      </c>
      <c r="AZ98">
        <v>837</v>
      </c>
      <c r="BA98">
        <v>611</v>
      </c>
      <c r="BB98">
        <v>40</v>
      </c>
      <c r="BC98">
        <v>1295</v>
      </c>
      <c r="BD98">
        <v>836</v>
      </c>
      <c r="BE98">
        <v>610</v>
      </c>
      <c r="BF98">
        <v>39</v>
      </c>
      <c r="BG98" s="6">
        <f>((AU98-BC98)/AU98)*100</f>
        <v>5.3362573099415203</v>
      </c>
      <c r="BH98" s="6">
        <f>((AV98-BD98)/AV98)*100</f>
        <v>4.0183696900114816</v>
      </c>
      <c r="BI98" s="6"/>
    </row>
    <row r="99" spans="1:61" hidden="1">
      <c r="A99" t="s">
        <v>43</v>
      </c>
      <c r="B99" s="5">
        <v>43690</v>
      </c>
      <c r="C99" s="3">
        <v>72.900000000000006</v>
      </c>
      <c r="D99" s="7">
        <v>96</v>
      </c>
      <c r="E99" s="4">
        <v>1237</v>
      </c>
      <c r="F99" s="6">
        <f>PowerProfiling[[#This Row],[IL Peak Power (W)]]/PowerProfiling[[#This Row],[Rider Weight]]</f>
        <v>16.968449931412891</v>
      </c>
      <c r="G99" s="7">
        <f>PowerProfiling[[#This Row],[IL Max Cadence (RPM)]]*0.5</f>
        <v>130</v>
      </c>
      <c r="H99" s="7">
        <v>171</v>
      </c>
      <c r="I99">
        <v>260</v>
      </c>
      <c r="J99">
        <v>35.49</v>
      </c>
      <c r="K99">
        <v>1367</v>
      </c>
      <c r="L99" s="6">
        <f>PowerProfiling[[#This Row],[S500Peak Power]]/PowerProfiling[[#This Row],[Rider Weight]]</f>
        <v>18.751714677640603</v>
      </c>
      <c r="M99" s="6">
        <v>72</v>
      </c>
      <c r="N99">
        <v>1176</v>
      </c>
      <c r="O99">
        <v>964</v>
      </c>
      <c r="P99">
        <v>815</v>
      </c>
      <c r="Q99" s="8"/>
      <c r="R99">
        <v>80</v>
      </c>
      <c r="S99">
        <v>102.5</v>
      </c>
      <c r="T99">
        <v>118.5</v>
      </c>
      <c r="U99">
        <v>131.5</v>
      </c>
      <c r="V99">
        <v>142</v>
      </c>
      <c r="W99">
        <v>151.5</v>
      </c>
      <c r="X99">
        <v>166.5</v>
      </c>
      <c r="Y99">
        <v>191.5</v>
      </c>
      <c r="Z99">
        <v>972.5</v>
      </c>
      <c r="AA99">
        <v>1131.5</v>
      </c>
      <c r="AB99">
        <v>1224.5</v>
      </c>
      <c r="AC99">
        <v>1272.5</v>
      </c>
      <c r="AD99">
        <v>1283</v>
      </c>
      <c r="AE99">
        <v>1250</v>
      </c>
      <c r="AF99">
        <v>1185</v>
      </c>
      <c r="AG99">
        <v>883</v>
      </c>
      <c r="AH99" s="6">
        <f t="shared" ref="AH99:AO101" si="30">Z99/(R99*(PI()/30))</f>
        <v>116.08363661765118</v>
      </c>
      <c r="AI99" s="6">
        <f t="shared" si="30"/>
        <v>105.41491791715877</v>
      </c>
      <c r="AJ99" s="6">
        <f t="shared" si="30"/>
        <v>98.676064716975119</v>
      </c>
      <c r="AK99" s="6">
        <f t="shared" si="30"/>
        <v>92.406691293279167</v>
      </c>
      <c r="AL99" s="6">
        <f t="shared" si="30"/>
        <v>86.279912107141584</v>
      </c>
      <c r="AM99" s="6">
        <f t="shared" si="30"/>
        <v>78.789575788067012</v>
      </c>
      <c r="AN99" s="6">
        <f t="shared" si="30"/>
        <v>67.963462185187751</v>
      </c>
      <c r="AO99" s="6">
        <f t="shared" si="30"/>
        <v>44.031482428243422</v>
      </c>
      <c r="AP99" s="6">
        <v>22.6</v>
      </c>
      <c r="AQ99" s="6">
        <v>997</v>
      </c>
      <c r="AR99" s="6">
        <v>48</v>
      </c>
      <c r="AS99" s="9">
        <v>1.169</v>
      </c>
      <c r="AT99" s="8">
        <v>35.49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idden="1">
      <c r="A100" t="s">
        <v>167</v>
      </c>
      <c r="B100" s="5">
        <v>43739</v>
      </c>
      <c r="C100" s="3">
        <v>78.7</v>
      </c>
      <c r="D100" s="4">
        <v>96</v>
      </c>
      <c r="E100" s="4">
        <v>1235</v>
      </c>
      <c r="F100" s="6">
        <f>PowerProfiling[[#This Row],[IL Peak Power (W)]]/PowerProfiling[[#This Row],[Rider Weight]]</f>
        <v>15.692503176620075</v>
      </c>
      <c r="G100" s="7">
        <f>PowerProfiling[[#This Row],[IL Max Cadence (RPM)]]*0.5</f>
        <v>113</v>
      </c>
      <c r="H100" s="7">
        <v>201</v>
      </c>
      <c r="I100">
        <v>226</v>
      </c>
      <c r="J100" s="8">
        <v>35.9</v>
      </c>
      <c r="K100">
        <v>1298</v>
      </c>
      <c r="L100" s="6">
        <f>PowerProfiling[[#This Row],[S500Peak Power]]/PowerProfiling[[#This Row],[Rider Weight]]</f>
        <v>16.493011435832273</v>
      </c>
      <c r="M100" s="6"/>
      <c r="N100">
        <v>1157</v>
      </c>
      <c r="O100">
        <v>915</v>
      </c>
      <c r="P100">
        <v>761</v>
      </c>
      <c r="Q100" s="8"/>
      <c r="R100">
        <v>77.5</v>
      </c>
      <c r="S100">
        <v>102.5</v>
      </c>
      <c r="T100">
        <v>119.5</v>
      </c>
      <c r="U100">
        <v>141.5</v>
      </c>
      <c r="V100">
        <v>156.5</v>
      </c>
      <c r="W100">
        <v>168.5</v>
      </c>
      <c r="X100">
        <v>177</v>
      </c>
      <c r="Y100">
        <v>184.5</v>
      </c>
      <c r="Z100">
        <v>1034.5</v>
      </c>
      <c r="AA100">
        <v>1221</v>
      </c>
      <c r="AB100">
        <v>1289.5</v>
      </c>
      <c r="AC100">
        <v>1203</v>
      </c>
      <c r="AD100">
        <v>1056.5</v>
      </c>
      <c r="AE100">
        <v>927</v>
      </c>
      <c r="AF100">
        <v>853.5</v>
      </c>
      <c r="AG100">
        <v>726.5</v>
      </c>
      <c r="AH100" s="6">
        <f t="shared" si="30"/>
        <v>127.46770732534121</v>
      </c>
      <c r="AI100" s="6">
        <f t="shared" si="30"/>
        <v>113.75308420402197</v>
      </c>
      <c r="AJ100" s="6">
        <f t="shared" si="30"/>
        <v>103.04450164870245</v>
      </c>
      <c r="AK100" s="6">
        <f t="shared" si="30"/>
        <v>81.185892525604288</v>
      </c>
      <c r="AL100" s="6">
        <f t="shared" si="30"/>
        <v>64.465379185912113</v>
      </c>
      <c r="AM100" s="6">
        <f t="shared" si="30"/>
        <v>52.535299316149668</v>
      </c>
      <c r="AN100" s="6">
        <f t="shared" si="30"/>
        <v>46.047031840316166</v>
      </c>
      <c r="AO100" s="6">
        <f t="shared" si="30"/>
        <v>37.601972733743729</v>
      </c>
      <c r="AP100" s="6">
        <v>22.4</v>
      </c>
      <c r="AQ100" s="6">
        <v>1001.8</v>
      </c>
      <c r="AR100" s="6">
        <v>51.2</v>
      </c>
      <c r="AS100" s="9">
        <v>1.1859999999999999</v>
      </c>
      <c r="AT100" s="8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idden="1">
      <c r="A101" t="s">
        <v>42</v>
      </c>
      <c r="B101" s="5">
        <v>43472</v>
      </c>
      <c r="C101" s="3">
        <v>67</v>
      </c>
      <c r="D101" s="4">
        <v>96</v>
      </c>
      <c r="E101" s="4">
        <v>1234</v>
      </c>
      <c r="F101" s="6">
        <f>PowerProfiling[[#This Row],[IL Peak Power (W)]]/PowerProfiling[[#This Row],[Rider Weight]]</f>
        <v>18.417910447761194</v>
      </c>
      <c r="G101" s="7">
        <f>PowerProfiling[[#This Row],[IL Max Cadence (RPM)]]*0.5</f>
        <v>126.5</v>
      </c>
      <c r="H101" s="7">
        <v>176</v>
      </c>
      <c r="I101">
        <v>253</v>
      </c>
      <c r="J101" s="8">
        <v>35.119999999999997</v>
      </c>
      <c r="K101">
        <v>1298</v>
      </c>
      <c r="L101" s="6">
        <f>PowerProfiling[[#This Row],[S500Peak Power]]/PowerProfiling[[#This Row],[Rider Weight]]</f>
        <v>19.373134328358208</v>
      </c>
      <c r="M101" s="6">
        <v>60</v>
      </c>
      <c r="N101">
        <v>1141</v>
      </c>
      <c r="O101">
        <v>937</v>
      </c>
      <c r="P101">
        <v>790</v>
      </c>
      <c r="Q101" s="8">
        <f>((PowerProfiling[[#This Row],[S500Peak Power]]-PowerProfiling[[#This Row],[30s MMP]])/PowerProfiling[[#This Row],[S500Peak Power]])*100</f>
        <v>39.137134052388291</v>
      </c>
      <c r="R101">
        <v>77</v>
      </c>
      <c r="S101">
        <v>101</v>
      </c>
      <c r="T101">
        <v>117.5</v>
      </c>
      <c r="U101">
        <v>131</v>
      </c>
      <c r="V101">
        <v>141.5</v>
      </c>
      <c r="W101">
        <v>160.5</v>
      </c>
      <c r="X101">
        <v>175.5</v>
      </c>
      <c r="Y101">
        <v>187.5</v>
      </c>
      <c r="Z101">
        <v>942</v>
      </c>
      <c r="AA101">
        <v>1165</v>
      </c>
      <c r="AB101">
        <v>1260.5</v>
      </c>
      <c r="AC101">
        <v>1297.5</v>
      </c>
      <c r="AD101">
        <v>1253</v>
      </c>
      <c r="AE101">
        <v>1152.5</v>
      </c>
      <c r="AF101">
        <v>1046.5</v>
      </c>
      <c r="AG101">
        <v>922.5</v>
      </c>
      <c r="AH101" s="6">
        <f t="shared" si="30"/>
        <v>116.82386212407695</v>
      </c>
      <c r="AI101" s="6">
        <f t="shared" si="30"/>
        <v>110.14782695171768</v>
      </c>
      <c r="AJ101" s="6">
        <f t="shared" si="30"/>
        <v>102.44160294502166</v>
      </c>
      <c r="AK101" s="6">
        <f t="shared" si="30"/>
        <v>94.581773432855371</v>
      </c>
      <c r="AL101" s="6">
        <f t="shared" si="30"/>
        <v>84.560202273135644</v>
      </c>
      <c r="AM101" s="6">
        <f t="shared" si="30"/>
        <v>68.570494173237151</v>
      </c>
      <c r="AN101" s="6">
        <f t="shared" si="30"/>
        <v>56.942101861767</v>
      </c>
      <c r="AO101" s="6">
        <f t="shared" si="30"/>
        <v>46.982539200727501</v>
      </c>
      <c r="AP101" s="6">
        <v>27</v>
      </c>
      <c r="AQ101" s="6">
        <v>1011</v>
      </c>
      <c r="AR101" s="6">
        <v>57</v>
      </c>
      <c r="AS101" s="9">
        <v>1.165</v>
      </c>
      <c r="AT101" s="8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idden="1">
      <c r="A102" t="s">
        <v>43</v>
      </c>
      <c r="B102" s="5">
        <v>44097</v>
      </c>
      <c r="C102" s="6">
        <v>80</v>
      </c>
      <c r="D102" s="7">
        <v>100</v>
      </c>
      <c r="E102" s="7">
        <v>1226</v>
      </c>
      <c r="F102" s="6">
        <f>PowerProfiling[[#This Row],[IL Peak Power (W)]]/PowerProfiling[[#This Row],[Rider Weight]]</f>
        <v>15.324999999999999</v>
      </c>
      <c r="G102" s="7">
        <f>PowerProfiling[[#This Row],[IL Max Cadence (RPM)]]*0.5</f>
        <v>128.5</v>
      </c>
      <c r="H102" s="7">
        <v>178</v>
      </c>
      <c r="I102">
        <v>257</v>
      </c>
      <c r="K102">
        <v>1397</v>
      </c>
      <c r="L102" s="6">
        <f>PowerProfiling[[#This Row],[S500Peak Power]]/PowerProfiling[[#This Row],[Rider Weight]]</f>
        <v>17.462499999999999</v>
      </c>
      <c r="M102" s="6"/>
      <c r="N102">
        <v>1252</v>
      </c>
      <c r="O102">
        <v>1041</v>
      </c>
      <c r="Q102" s="7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9"/>
      <c r="AT102" s="8"/>
      <c r="AU102">
        <v>1397</v>
      </c>
      <c r="AV102">
        <v>867</v>
      </c>
      <c r="AW102">
        <v>630</v>
      </c>
      <c r="AX102">
        <v>41</v>
      </c>
      <c r="AY102">
        <v>1322</v>
      </c>
      <c r="AZ102">
        <v>819</v>
      </c>
      <c r="BA102">
        <v>576</v>
      </c>
      <c r="BB102">
        <v>44</v>
      </c>
      <c r="BC102">
        <v>1122</v>
      </c>
      <c r="BD102">
        <v>657</v>
      </c>
      <c r="BE102">
        <v>412</v>
      </c>
      <c r="BF102">
        <v>55</v>
      </c>
      <c r="BG102" s="6">
        <f>((AU102-BC102)/AU102)*100</f>
        <v>19.685039370078741</v>
      </c>
      <c r="BH102" s="6">
        <f>((AV102-BD102)/AV102)*100</f>
        <v>24.221453287197232</v>
      </c>
      <c r="BI102" s="6"/>
    </row>
    <row r="103" spans="1:61" hidden="1">
      <c r="A103" t="s">
        <v>42</v>
      </c>
      <c r="B103" s="5">
        <v>44097</v>
      </c>
      <c r="C103" s="6">
        <v>64</v>
      </c>
      <c r="D103" s="7">
        <v>100</v>
      </c>
      <c r="E103" s="7">
        <v>1225</v>
      </c>
      <c r="F103" s="6">
        <f>PowerProfiling[[#This Row],[IL Peak Power (W)]]/PowerProfiling[[#This Row],[Rider Weight]]</f>
        <v>19.140625</v>
      </c>
      <c r="G103" s="7">
        <f>PowerProfiling[[#This Row],[IL Max Cadence (RPM)]]*0.5</f>
        <v>132.5</v>
      </c>
      <c r="H103" s="7">
        <v>172</v>
      </c>
      <c r="I103">
        <v>265</v>
      </c>
      <c r="K103">
        <v>1304</v>
      </c>
      <c r="L103" s="6">
        <f>PowerProfiling[[#This Row],[S500Peak Power]]/PowerProfiling[[#This Row],[Rider Weight]]</f>
        <v>20.375</v>
      </c>
      <c r="M103" s="6"/>
      <c r="N103">
        <v>1109</v>
      </c>
      <c r="O103">
        <v>921</v>
      </c>
      <c r="Q103" s="7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9"/>
      <c r="AT103" s="8"/>
      <c r="AU103">
        <v>1304</v>
      </c>
      <c r="AV103">
        <v>766</v>
      </c>
      <c r="AW103">
        <v>527</v>
      </c>
      <c r="AX103">
        <v>47</v>
      </c>
      <c r="AY103">
        <v>1193</v>
      </c>
      <c r="AZ103">
        <v>659</v>
      </c>
      <c r="BA103">
        <v>399</v>
      </c>
      <c r="BB103">
        <v>57</v>
      </c>
      <c r="BC103">
        <v>1010</v>
      </c>
      <c r="BD103">
        <v>465</v>
      </c>
      <c r="BE103">
        <v>218</v>
      </c>
      <c r="BF103">
        <v>71</v>
      </c>
      <c r="BG103" s="6">
        <f>((AU103-BC103)/AU103)*100</f>
        <v>22.54601226993865</v>
      </c>
      <c r="BH103" s="6">
        <f>((AV103-BD103)/AV103)*100</f>
        <v>39.295039164490866</v>
      </c>
      <c r="BI103" s="6"/>
    </row>
    <row r="104" spans="1:61" hidden="1">
      <c r="A104" t="s">
        <v>167</v>
      </c>
      <c r="B104" s="5">
        <v>43655</v>
      </c>
      <c r="C104" s="6">
        <v>77</v>
      </c>
      <c r="D104" s="7">
        <v>96</v>
      </c>
      <c r="E104" s="7">
        <v>1207</v>
      </c>
      <c r="F104" s="6">
        <f>PowerProfiling[[#This Row],[IL Peak Power (W)]]/PowerProfiling[[#This Row],[Rider Weight]]</f>
        <v>15.675324675324676</v>
      </c>
      <c r="G104" s="7">
        <f>PowerProfiling[[#This Row],[IL Max Cadence (RPM)]]*0.5</f>
        <v>111.5</v>
      </c>
      <c r="H104" s="7">
        <v>203</v>
      </c>
      <c r="I104">
        <v>223</v>
      </c>
      <c r="J104" s="8"/>
      <c r="K104" s="7">
        <v>1234</v>
      </c>
      <c r="L104" s="6">
        <f>PowerProfiling[[#This Row],[S500Peak Power]]/PowerProfiling[[#This Row],[Rider Weight]]</f>
        <v>16.025974025974026</v>
      </c>
      <c r="M104" s="6"/>
      <c r="N104">
        <v>1124</v>
      </c>
      <c r="O104">
        <v>903</v>
      </c>
      <c r="P104">
        <v>760</v>
      </c>
      <c r="Q104" s="8"/>
      <c r="R104">
        <v>76.5</v>
      </c>
      <c r="S104">
        <v>102</v>
      </c>
      <c r="T104">
        <v>118</v>
      </c>
      <c r="U104">
        <v>140</v>
      </c>
      <c r="V104">
        <v>158</v>
      </c>
      <c r="W104">
        <v>169.5</v>
      </c>
      <c r="X104">
        <v>179.5</v>
      </c>
      <c r="Y104">
        <v>183.5</v>
      </c>
      <c r="Z104">
        <v>1056.5</v>
      </c>
      <c r="AA104">
        <v>1185.5</v>
      </c>
      <c r="AB104">
        <v>1237</v>
      </c>
      <c r="AC104">
        <v>1140.5</v>
      </c>
      <c r="AD104">
        <v>1012.5</v>
      </c>
      <c r="AE104">
        <v>888.5</v>
      </c>
      <c r="AF104">
        <v>766</v>
      </c>
      <c r="AG104">
        <v>704.5</v>
      </c>
      <c r="AH104" s="6">
        <f t="shared" ref="AH104:AO105" si="31">Z104/(R104*(PI()/30))</f>
        <v>131.88015480516663</v>
      </c>
      <c r="AI104" s="6">
        <f t="shared" si="31"/>
        <v>110.98716766790702</v>
      </c>
      <c r="AJ104" s="6">
        <f t="shared" si="31"/>
        <v>100.10576166339385</v>
      </c>
      <c r="AK104" s="6">
        <f t="shared" si="31"/>
        <v>77.792662541274282</v>
      </c>
      <c r="AL104" s="6">
        <f t="shared" si="31"/>
        <v>61.194068309067362</v>
      </c>
      <c r="AM104" s="6">
        <f t="shared" si="31"/>
        <v>50.056342278636812</v>
      </c>
      <c r="AN104" s="6">
        <f t="shared" si="31"/>
        <v>40.750758688041842</v>
      </c>
      <c r="AO104" s="6">
        <f t="shared" si="31"/>
        <v>36.662013321495458</v>
      </c>
      <c r="AP104" s="6">
        <v>22.7</v>
      </c>
      <c r="AQ104" s="6">
        <v>1006</v>
      </c>
      <c r="AR104" s="6">
        <v>46</v>
      </c>
      <c r="AS104" s="9">
        <v>1.179</v>
      </c>
      <c r="AT104" s="8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idden="1">
      <c r="A105" t="s">
        <v>43</v>
      </c>
      <c r="B105" s="5">
        <v>43739</v>
      </c>
      <c r="C105" s="3">
        <v>76.400000000000006</v>
      </c>
      <c r="D105" s="4">
        <v>96</v>
      </c>
      <c r="E105" s="4">
        <v>1191</v>
      </c>
      <c r="F105" s="6">
        <f>PowerProfiling[[#This Row],[IL Peak Power (W)]]/PowerProfiling[[#This Row],[Rider Weight]]</f>
        <v>15.589005235602093</v>
      </c>
      <c r="G105" s="7">
        <f>PowerProfiling[[#This Row],[IL Max Cadence (RPM)]]*0.5</f>
        <v>126.5</v>
      </c>
      <c r="H105" s="7">
        <v>172</v>
      </c>
      <c r="I105">
        <v>253</v>
      </c>
      <c r="J105" s="8">
        <v>35.409999999999997</v>
      </c>
      <c r="K105">
        <v>1319</v>
      </c>
      <c r="L105" s="6">
        <f>PowerProfiling[[#This Row],[S500Peak Power]]/PowerProfiling[[#This Row],[Rider Weight]]</f>
        <v>17.264397905759161</v>
      </c>
      <c r="M105" s="6">
        <v>72</v>
      </c>
      <c r="N105">
        <v>1163</v>
      </c>
      <c r="O105">
        <v>955</v>
      </c>
      <c r="P105">
        <v>807</v>
      </c>
      <c r="Q105" s="8"/>
      <c r="R105">
        <v>75</v>
      </c>
      <c r="S105">
        <v>99</v>
      </c>
      <c r="T105">
        <v>115.5</v>
      </c>
      <c r="U105">
        <v>128.5</v>
      </c>
      <c r="V105">
        <v>144</v>
      </c>
      <c r="W105">
        <v>157</v>
      </c>
      <c r="X105">
        <v>175</v>
      </c>
      <c r="Y105">
        <v>188</v>
      </c>
      <c r="Z105">
        <v>937.5</v>
      </c>
      <c r="AA105">
        <v>1076.5</v>
      </c>
      <c r="AB105">
        <v>1208</v>
      </c>
      <c r="AC105">
        <v>1199</v>
      </c>
      <c r="AD105">
        <v>1217</v>
      </c>
      <c r="AE105">
        <v>1180</v>
      </c>
      <c r="AF105">
        <v>1053.5</v>
      </c>
      <c r="AG105">
        <v>831.5</v>
      </c>
      <c r="AH105" s="6">
        <f t="shared" si="31"/>
        <v>119.36620731892151</v>
      </c>
      <c r="AI105" s="6">
        <f t="shared" si="31"/>
        <v>103.83654317480324</v>
      </c>
      <c r="AJ105" s="6">
        <f t="shared" si="31"/>
        <v>99.874894158446537</v>
      </c>
      <c r="AK105" s="6">
        <f t="shared" si="31"/>
        <v>89.101996934093009</v>
      </c>
      <c r="AL105" s="6">
        <f t="shared" si="31"/>
        <v>80.704819059515259</v>
      </c>
      <c r="AM105" s="6">
        <f t="shared" si="31"/>
        <v>71.771783254179553</v>
      </c>
      <c r="AN105" s="6">
        <f t="shared" si="31"/>
        <v>57.486765444792596</v>
      </c>
      <c r="AO105" s="6">
        <f t="shared" si="31"/>
        <v>42.235319738588615</v>
      </c>
      <c r="AP105" s="6">
        <v>22.4</v>
      </c>
      <c r="AQ105" s="6">
        <v>1001.8</v>
      </c>
      <c r="AR105" s="6">
        <v>51.2</v>
      </c>
      <c r="AS105" s="9">
        <v>1.1859999999999999</v>
      </c>
      <c r="AT105" s="8">
        <v>35.340000000000003</v>
      </c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idden="1">
      <c r="A106" t="s">
        <v>51</v>
      </c>
      <c r="B106" s="5">
        <v>44621</v>
      </c>
      <c r="C106" s="6">
        <v>70.900000000000006</v>
      </c>
      <c r="D106" s="7">
        <v>96</v>
      </c>
      <c r="E106" s="7">
        <v>1190</v>
      </c>
      <c r="F106" s="6">
        <f>PowerProfiling[[#This Row],[IL Peak Power (W)]]/PowerProfiling[[#This Row],[Rider Weight]]</f>
        <v>16.784203102961918</v>
      </c>
      <c r="G106" s="7">
        <v>115</v>
      </c>
      <c r="H106" s="7">
        <v>196.5</v>
      </c>
      <c r="I106">
        <v>230.5</v>
      </c>
      <c r="J106" s="8">
        <v>35.020000000000003</v>
      </c>
      <c r="K106">
        <v>1291</v>
      </c>
      <c r="L106" s="6">
        <f>PowerProfiling[[#This Row],[S500Peak Power]]/PowerProfiling[[#This Row],[Rider Weight]]</f>
        <v>18.208744710860366</v>
      </c>
      <c r="M106" s="6">
        <v>89</v>
      </c>
      <c r="N106">
        <v>1164</v>
      </c>
      <c r="O106">
        <v>958</v>
      </c>
      <c r="P106">
        <v>820</v>
      </c>
      <c r="Q106" s="7">
        <f>((PowerProfiling[[#This Row],[S500Peak Power]]-PowerProfiling[[#This Row],[30s MMP]])/PowerProfiling[[#This Row],[S500Peak Power]])*100</f>
        <v>36.483346243222307</v>
      </c>
      <c r="AH106" s="6"/>
      <c r="AI106" s="6"/>
      <c r="AJ106" s="6"/>
      <c r="AK106" s="6"/>
      <c r="AL106" s="6"/>
      <c r="AM106" s="6"/>
      <c r="AN106" s="6"/>
      <c r="AO106" s="6"/>
      <c r="AP106" s="6">
        <v>27.4</v>
      </c>
      <c r="AQ106" s="6">
        <v>1015</v>
      </c>
      <c r="AR106" s="6">
        <v>48</v>
      </c>
      <c r="AS106" s="9">
        <v>1.169</v>
      </c>
      <c r="AT106" s="8">
        <v>35.020000000000003</v>
      </c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idden="1">
      <c r="A107" t="s">
        <v>44</v>
      </c>
      <c r="B107" s="5">
        <v>44235</v>
      </c>
      <c r="C107" s="6">
        <v>69.5</v>
      </c>
      <c r="D107" s="7">
        <v>100</v>
      </c>
      <c r="E107" s="7">
        <v>1188</v>
      </c>
      <c r="F107" s="6">
        <f>PowerProfiling[[#This Row],[IL Peak Power (W)]]/PowerProfiling[[#This Row],[Rider Weight]]</f>
        <v>17.093525179856115</v>
      </c>
      <c r="G107" s="7">
        <f>PowerProfiling[[#This Row],[IL Max Cadence (RPM)]]*0.5</f>
        <v>131.5</v>
      </c>
      <c r="H107" s="7">
        <v>168</v>
      </c>
      <c r="I107">
        <v>263</v>
      </c>
      <c r="K107">
        <v>1257</v>
      </c>
      <c r="L107" s="6">
        <f>PowerProfiling[[#This Row],[S500Peak Power]]/PowerProfiling[[#This Row],[Rider Weight]]</f>
        <v>18.086330935251798</v>
      </c>
      <c r="M107" s="6"/>
      <c r="N107">
        <v>1133</v>
      </c>
      <c r="O107">
        <v>921</v>
      </c>
      <c r="Q107" s="7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9"/>
      <c r="AT107" s="8"/>
      <c r="AU107" s="7">
        <v>1257</v>
      </c>
      <c r="AV107" s="7">
        <v>763</v>
      </c>
      <c r="AW107" s="7">
        <v>539</v>
      </c>
      <c r="AX107" s="7">
        <v>44</v>
      </c>
      <c r="AY107" s="7">
        <v>1146</v>
      </c>
      <c r="AZ107" s="7">
        <v>598</v>
      </c>
      <c r="BA107" s="7">
        <v>337</v>
      </c>
      <c r="BB107" s="7">
        <v>61</v>
      </c>
      <c r="BC107" s="7">
        <v>1074</v>
      </c>
      <c r="BD107" s="7">
        <v>467</v>
      </c>
      <c r="BE107" s="7">
        <v>181</v>
      </c>
      <c r="BF107" s="7">
        <v>78</v>
      </c>
      <c r="BG107" s="6">
        <f>((AU107-BC107)/AU107)*100</f>
        <v>14.558472553699284</v>
      </c>
      <c r="BH107" s="6">
        <f>((AV107-BD107)/AV107)*100</f>
        <v>38.794233289646137</v>
      </c>
      <c r="BI107" s="6"/>
    </row>
    <row r="108" spans="1:61" hidden="1">
      <c r="A108" t="s">
        <v>42</v>
      </c>
      <c r="B108" s="5">
        <v>43430</v>
      </c>
      <c r="C108" s="3">
        <v>66</v>
      </c>
      <c r="D108" s="4">
        <v>96</v>
      </c>
      <c r="E108" s="7">
        <v>1177.8068749999995</v>
      </c>
      <c r="F108" s="6">
        <f>PowerProfiling[[#This Row],[IL Peak Power (W)]]/PowerProfiling[[#This Row],[Rider Weight]]</f>
        <v>17.845558712121203</v>
      </c>
      <c r="G108" s="7">
        <f>PowerProfiling[[#This Row],[IL Max Cadence (RPM)]]*0.5</f>
        <v>122.5</v>
      </c>
      <c r="H108" s="7">
        <v>174.91656561136472</v>
      </c>
      <c r="I108">
        <v>245</v>
      </c>
      <c r="J108">
        <v>34.82</v>
      </c>
      <c r="K108">
        <v>1319</v>
      </c>
      <c r="L108" s="6">
        <f>PowerProfiling[[#This Row],[S500Peak Power]]/PowerProfiling[[#This Row],[Rider Weight]]</f>
        <v>19.984848484848484</v>
      </c>
      <c r="M108" s="6">
        <v>58</v>
      </c>
      <c r="N108">
        <v>1157</v>
      </c>
      <c r="O108">
        <v>964</v>
      </c>
      <c r="P108">
        <v>822</v>
      </c>
      <c r="Q108" s="8">
        <f>((PowerProfiling[[#This Row],[S500Peak Power]]-PowerProfiling[[#This Row],[30s MMP]])/PowerProfiling[[#This Row],[S500Peak Power]])*100</f>
        <v>37.680060652009097</v>
      </c>
      <c r="R108">
        <v>76</v>
      </c>
      <c r="S108">
        <v>100</v>
      </c>
      <c r="T108">
        <v>116</v>
      </c>
      <c r="U108">
        <v>129</v>
      </c>
      <c r="V108">
        <v>139</v>
      </c>
      <c r="W108">
        <v>162</v>
      </c>
      <c r="X108">
        <v>173</v>
      </c>
      <c r="Y108">
        <v>185</v>
      </c>
      <c r="Z108">
        <v>919</v>
      </c>
      <c r="AA108">
        <v>1128</v>
      </c>
      <c r="AB108">
        <v>1186</v>
      </c>
      <c r="AC108">
        <v>1229</v>
      </c>
      <c r="AD108">
        <v>1196</v>
      </c>
      <c r="AE108">
        <v>1064</v>
      </c>
      <c r="AF108">
        <v>995</v>
      </c>
      <c r="AG108">
        <v>820</v>
      </c>
      <c r="AH108" s="6">
        <f t="shared" ref="AH108:AO109" si="32">Z108/(R108*(PI()/30))</f>
        <v>115.47109950114617</v>
      </c>
      <c r="AI108" s="6">
        <f t="shared" si="32"/>
        <v>107.71606548459478</v>
      </c>
      <c r="AJ108" s="6">
        <f t="shared" si="32"/>
        <v>97.63332543464891</v>
      </c>
      <c r="AK108" s="6">
        <f t="shared" si="32"/>
        <v>90.977407004622961</v>
      </c>
      <c r="AL108" s="6">
        <f t="shared" si="32"/>
        <v>82.16517062067922</v>
      </c>
      <c r="AM108" s="6">
        <f t="shared" si="32"/>
        <v>62.718836833250606</v>
      </c>
      <c r="AN108" s="6">
        <f t="shared" si="32"/>
        <v>54.922254928243653</v>
      </c>
      <c r="AO108" s="6">
        <f t="shared" si="32"/>
        <v>42.326611892547305</v>
      </c>
      <c r="AP108" s="6">
        <v>25.2</v>
      </c>
      <c r="AQ108" s="6">
        <v>994</v>
      </c>
      <c r="AR108" s="6">
        <v>54</v>
      </c>
      <c r="AS108" s="9">
        <v>1.1859999999999999</v>
      </c>
      <c r="AT108" s="8">
        <v>34.97</v>
      </c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idden="1">
      <c r="A109" t="s">
        <v>167</v>
      </c>
      <c r="B109" s="5">
        <v>43690</v>
      </c>
      <c r="C109" s="3">
        <v>77</v>
      </c>
      <c r="D109" s="4">
        <v>96</v>
      </c>
      <c r="E109" s="4">
        <v>1172</v>
      </c>
      <c r="F109" s="6">
        <f>PowerProfiling[[#This Row],[IL Peak Power (W)]]/PowerProfiling[[#This Row],[Rider Weight]]</f>
        <v>15.220779220779221</v>
      </c>
      <c r="G109" s="7">
        <f>PowerProfiling[[#This Row],[IL Max Cadence (RPM)]]*0.5</f>
        <v>115</v>
      </c>
      <c r="H109" s="7">
        <v>191</v>
      </c>
      <c r="I109">
        <v>230</v>
      </c>
      <c r="K109">
        <v>1225</v>
      </c>
      <c r="L109" s="6">
        <f>PowerProfiling[[#This Row],[S500Peak Power]]/PowerProfiling[[#This Row],[Rider Weight]]</f>
        <v>15.909090909090908</v>
      </c>
      <c r="M109" s="6"/>
      <c r="N109">
        <v>1108</v>
      </c>
      <c r="O109">
        <v>887</v>
      </c>
      <c r="P109">
        <v>746</v>
      </c>
      <c r="Q109" s="8"/>
      <c r="R109">
        <v>75.5</v>
      </c>
      <c r="S109">
        <v>100.5</v>
      </c>
      <c r="T109">
        <v>117</v>
      </c>
      <c r="U109">
        <v>139</v>
      </c>
      <c r="V109">
        <v>154</v>
      </c>
      <c r="W109">
        <v>166</v>
      </c>
      <c r="X109">
        <v>175</v>
      </c>
      <c r="Y109">
        <v>183</v>
      </c>
      <c r="Z109">
        <v>1002.5</v>
      </c>
      <c r="AA109">
        <v>1147.5</v>
      </c>
      <c r="AB109">
        <v>1194.5</v>
      </c>
      <c r="AC109">
        <v>1155.5</v>
      </c>
      <c r="AD109">
        <v>1015.5</v>
      </c>
      <c r="AE109">
        <v>942</v>
      </c>
      <c r="AF109">
        <v>888</v>
      </c>
      <c r="AG109">
        <v>752</v>
      </c>
      <c r="AH109" s="6">
        <f t="shared" si="32"/>
        <v>126.79695135069544</v>
      </c>
      <c r="AI109" s="6">
        <f t="shared" si="32"/>
        <v>109.03301325250742</v>
      </c>
      <c r="AJ109" s="6">
        <f t="shared" si="32"/>
        <v>97.49260488372768</v>
      </c>
      <c r="AK109" s="6">
        <f t="shared" si="32"/>
        <v>79.382821615547513</v>
      </c>
      <c r="AL109" s="6">
        <f t="shared" si="32"/>
        <v>62.969549886942751</v>
      </c>
      <c r="AM109" s="6">
        <f t="shared" si="32"/>
        <v>54.189381828638105</v>
      </c>
      <c r="AN109" s="6">
        <f t="shared" si="32"/>
        <v>48.455859245349622</v>
      </c>
      <c r="AO109" s="6">
        <f t="shared" si="32"/>
        <v>39.24082531314928</v>
      </c>
      <c r="AP109" s="6">
        <v>22.6</v>
      </c>
      <c r="AQ109" s="6">
        <v>997</v>
      </c>
      <c r="AR109" s="6">
        <v>48</v>
      </c>
      <c r="AS109" s="9">
        <v>1.169</v>
      </c>
      <c r="AT109" s="8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idden="1">
      <c r="A110" t="s">
        <v>43</v>
      </c>
      <c r="B110" s="5">
        <v>44235</v>
      </c>
      <c r="C110" s="6">
        <v>80</v>
      </c>
      <c r="D110" s="7">
        <v>100</v>
      </c>
      <c r="E110" s="7">
        <v>1168</v>
      </c>
      <c r="F110" s="6">
        <f>PowerProfiling[[#This Row],[IL Peak Power (W)]]/PowerProfiling[[#This Row],[Rider Weight]]</f>
        <v>14.6</v>
      </c>
      <c r="G110" s="7">
        <f>PowerProfiling[[#This Row],[IL Max Cadence (RPM)]]*0.5</f>
        <v>127</v>
      </c>
      <c r="H110" s="7">
        <v>171</v>
      </c>
      <c r="I110">
        <v>254</v>
      </c>
      <c r="K110">
        <v>1360</v>
      </c>
      <c r="L110" s="6">
        <f>PowerProfiling[[#This Row],[S500Peak Power]]/PowerProfiling[[#This Row],[Rider Weight]]</f>
        <v>17</v>
      </c>
      <c r="M110" s="6"/>
      <c r="N110">
        <v>1189</v>
      </c>
      <c r="O110">
        <v>1001</v>
      </c>
      <c r="Q110" s="7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9"/>
      <c r="AT110" s="8"/>
      <c r="AU110" s="7">
        <v>1360</v>
      </c>
      <c r="AV110" s="7">
        <v>850</v>
      </c>
      <c r="AW110" s="7">
        <v>641</v>
      </c>
      <c r="AX110" s="7">
        <v>38</v>
      </c>
      <c r="AY110" s="7">
        <v>1285</v>
      </c>
      <c r="AZ110" s="7">
        <v>823</v>
      </c>
      <c r="BA110" s="7">
        <v>637</v>
      </c>
      <c r="BB110" s="7">
        <v>36</v>
      </c>
      <c r="BC110" s="7">
        <v>1273</v>
      </c>
      <c r="BD110" s="7">
        <v>800</v>
      </c>
      <c r="BE110" s="7">
        <v>594</v>
      </c>
      <c r="BF110" s="7">
        <v>40</v>
      </c>
      <c r="BG110" s="6">
        <f>((AU110-BC110)/AU110)*100</f>
        <v>6.3970588235294112</v>
      </c>
      <c r="BH110" s="6">
        <f>((AV110-BD110)/AV110)*100</f>
        <v>5.8823529411764701</v>
      </c>
      <c r="BI110" s="6"/>
    </row>
    <row r="111" spans="1:61" hidden="1">
      <c r="A111" t="s">
        <v>42</v>
      </c>
      <c r="B111" s="5">
        <v>43690</v>
      </c>
      <c r="C111" s="6">
        <v>66</v>
      </c>
      <c r="D111" s="7">
        <v>96</v>
      </c>
      <c r="E111" s="7">
        <v>1167</v>
      </c>
      <c r="F111" s="6">
        <f>PowerProfiling[[#This Row],[IL Peak Power (W)]]/PowerProfiling[[#This Row],[Rider Weight]]</f>
        <v>17.681818181818183</v>
      </c>
      <c r="G111" s="7">
        <f>PowerProfiling[[#This Row],[IL Max Cadence (RPM)]]*0.5</f>
        <v>126.5</v>
      </c>
      <c r="H111" s="7">
        <v>169</v>
      </c>
      <c r="I111">
        <v>253</v>
      </c>
      <c r="J111" s="8">
        <v>35.6</v>
      </c>
      <c r="K111">
        <v>1234</v>
      </c>
      <c r="L111" s="6">
        <f>PowerProfiling[[#This Row],[S500Peak Power]]/PowerProfiling[[#This Row],[Rider Weight]]</f>
        <v>18.696969696969695</v>
      </c>
      <c r="M111" s="6">
        <v>65</v>
      </c>
      <c r="N111">
        <v>1056</v>
      </c>
      <c r="O111">
        <v>872</v>
      </c>
      <c r="P111">
        <v>747</v>
      </c>
      <c r="Q111" s="8"/>
      <c r="R111">
        <v>75</v>
      </c>
      <c r="S111">
        <v>98</v>
      </c>
      <c r="T111">
        <v>115</v>
      </c>
      <c r="U111">
        <v>128.5</v>
      </c>
      <c r="V111">
        <v>147.5</v>
      </c>
      <c r="W111">
        <v>158</v>
      </c>
      <c r="X111">
        <v>178</v>
      </c>
      <c r="Y111">
        <v>184.5</v>
      </c>
      <c r="Z111">
        <v>903.5</v>
      </c>
      <c r="AA111">
        <v>1086.5</v>
      </c>
      <c r="AB111">
        <v>1194.5</v>
      </c>
      <c r="AC111">
        <v>1215.5</v>
      </c>
      <c r="AD111">
        <v>1150</v>
      </c>
      <c r="AE111">
        <v>1093</v>
      </c>
      <c r="AF111">
        <v>980.5</v>
      </c>
      <c r="AG111">
        <v>891</v>
      </c>
      <c r="AH111" s="6">
        <f t="shared" ref="AH111:AO111" si="33">Z111/(R111*(PI()/30))</f>
        <v>115.03719286682195</v>
      </c>
      <c r="AI111" s="6">
        <f t="shared" si="33"/>
        <v>105.87051775674141</v>
      </c>
      <c r="AJ111" s="6">
        <f t="shared" si="33"/>
        <v>99.18812844692296</v>
      </c>
      <c r="AK111" s="6">
        <f t="shared" si="33"/>
        <v>90.328171203828234</v>
      </c>
      <c r="AL111" s="6">
        <f t="shared" si="33"/>
        <v>74.452142870106982</v>
      </c>
      <c r="AM111" s="6">
        <f t="shared" si="33"/>
        <v>66.059374480800614</v>
      </c>
      <c r="AN111" s="6">
        <f t="shared" si="33"/>
        <v>52.601602820765187</v>
      </c>
      <c r="AO111" s="6">
        <f t="shared" si="33"/>
        <v>46.116115217846747</v>
      </c>
      <c r="AP111" s="6">
        <v>22.6</v>
      </c>
      <c r="AQ111" s="6">
        <v>997</v>
      </c>
      <c r="AR111" s="6">
        <v>48</v>
      </c>
      <c r="AS111" s="9">
        <v>1.169</v>
      </c>
      <c r="AT111" s="8">
        <v>35.6</v>
      </c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idden="1">
      <c r="A112" t="s">
        <v>42</v>
      </c>
      <c r="B112" s="5">
        <v>44036</v>
      </c>
      <c r="C112" s="3">
        <v>64</v>
      </c>
      <c r="D112" s="4">
        <v>100</v>
      </c>
      <c r="E112" s="4">
        <v>1157</v>
      </c>
      <c r="F112" s="6">
        <f>PowerProfiling[[#This Row],[IL Peak Power (W)]]/PowerProfiling[[#This Row],[Rider Weight]]</f>
        <v>18.078125</v>
      </c>
      <c r="G112" s="7">
        <f>PowerProfiling[[#This Row],[IL Max Cadence (RPM)]]*0.5</f>
        <v>130.5</v>
      </c>
      <c r="H112" s="7">
        <v>165</v>
      </c>
      <c r="I112">
        <v>261</v>
      </c>
      <c r="K112">
        <v>1140</v>
      </c>
      <c r="L112" s="6">
        <f>PowerProfiling[[#This Row],[S500Peak Power]]/PowerProfiling[[#This Row],[Rider Weight]]</f>
        <v>17.8125</v>
      </c>
      <c r="M112" s="6"/>
      <c r="N112">
        <v>1027</v>
      </c>
      <c r="O112">
        <v>845</v>
      </c>
      <c r="Q112" s="7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9"/>
      <c r="AT112" s="8"/>
      <c r="AU112">
        <v>1171</v>
      </c>
      <c r="AV112">
        <v>694</v>
      </c>
      <c r="AW112">
        <v>475</v>
      </c>
      <c r="AX112">
        <v>48</v>
      </c>
      <c r="AY112">
        <v>1104</v>
      </c>
      <c r="AZ112">
        <v>575</v>
      </c>
      <c r="BA112">
        <v>362</v>
      </c>
      <c r="BB112">
        <v>56</v>
      </c>
      <c r="BC112">
        <v>936</v>
      </c>
      <c r="BD112">
        <v>443</v>
      </c>
      <c r="BE112">
        <v>210</v>
      </c>
      <c r="BF112">
        <v>70</v>
      </c>
      <c r="BG112" s="6">
        <f>((AU112-BC112)/AU112)*100</f>
        <v>20.068317677198973</v>
      </c>
      <c r="BH112" s="6">
        <f>((AV112-BD112)/AV112)*100</f>
        <v>36.1671469740634</v>
      </c>
      <c r="BI112" s="6"/>
    </row>
    <row r="113" spans="1:61" hidden="1">
      <c r="A113" t="s">
        <v>167</v>
      </c>
      <c r="B113" s="5">
        <v>43472</v>
      </c>
      <c r="C113" s="6">
        <v>77</v>
      </c>
      <c r="D113" s="7">
        <v>96</v>
      </c>
      <c r="E113" s="7">
        <v>1138</v>
      </c>
      <c r="F113" s="6">
        <f>PowerProfiling[[#This Row],[IL Peak Power (W)]]/PowerProfiling[[#This Row],[Rider Weight]]</f>
        <v>14.779220779220779</v>
      </c>
      <c r="G113" s="7">
        <f>PowerProfiling[[#This Row],[IL Max Cadence (RPM)]]*0.5</f>
        <v>110</v>
      </c>
      <c r="H113" s="7">
        <v>193</v>
      </c>
      <c r="I113">
        <v>220</v>
      </c>
      <c r="J113" s="8">
        <v>35.71</v>
      </c>
      <c r="L113" s="6"/>
      <c r="M113" s="6"/>
      <c r="Q113" s="8"/>
      <c r="R113">
        <v>75</v>
      </c>
      <c r="S113">
        <v>100</v>
      </c>
      <c r="T113">
        <v>116</v>
      </c>
      <c r="U113">
        <v>137.5</v>
      </c>
      <c r="V113">
        <v>149</v>
      </c>
      <c r="W113">
        <v>158.5</v>
      </c>
      <c r="X113">
        <v>170.5</v>
      </c>
      <c r="Y113">
        <v>178</v>
      </c>
      <c r="Z113">
        <v>986.5</v>
      </c>
      <c r="AA113">
        <v>1127</v>
      </c>
      <c r="AB113">
        <v>1155</v>
      </c>
      <c r="AC113">
        <v>1082.5</v>
      </c>
      <c r="AD113">
        <v>1012</v>
      </c>
      <c r="AE113">
        <v>931</v>
      </c>
      <c r="AF113">
        <v>815</v>
      </c>
      <c r="AG113">
        <v>689.5</v>
      </c>
      <c r="AH113" s="6">
        <f t="shared" ref="AH113:AO116" si="34">Z113/(R113*(PI()/30))</f>
        <v>125.60508108812381</v>
      </c>
      <c r="AI113" s="6">
        <f t="shared" si="34"/>
        <v>107.62057251873964</v>
      </c>
      <c r="AJ113" s="6">
        <f t="shared" si="34"/>
        <v>95.081358243692648</v>
      </c>
      <c r="AK113" s="6">
        <f t="shared" si="34"/>
        <v>75.179007664135298</v>
      </c>
      <c r="AL113" s="6">
        <f t="shared" si="34"/>
        <v>64.858309694898566</v>
      </c>
      <c r="AM113" s="6">
        <f t="shared" si="34"/>
        <v>56.090820953396054</v>
      </c>
      <c r="AN113" s="6">
        <f t="shared" si="34"/>
        <v>45.646197754801662</v>
      </c>
      <c r="AO113" s="6">
        <f t="shared" si="34"/>
        <v>36.990112335459052</v>
      </c>
      <c r="AP113" s="6">
        <v>27</v>
      </c>
      <c r="AQ113" s="6">
        <v>1011</v>
      </c>
      <c r="AR113" s="6">
        <v>57</v>
      </c>
      <c r="AS113" s="9">
        <v>1.165</v>
      </c>
      <c r="AT113" s="8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idden="1">
      <c r="A114" t="s">
        <v>43</v>
      </c>
      <c r="B114" s="5">
        <v>43563</v>
      </c>
      <c r="C114" s="6">
        <v>72.900000000000006</v>
      </c>
      <c r="D114" s="7">
        <v>96</v>
      </c>
      <c r="E114" s="7">
        <v>1124</v>
      </c>
      <c r="F114" s="6">
        <f>PowerProfiling[[#This Row],[IL Peak Power (W)]]/PowerProfiling[[#This Row],[Rider Weight]]</f>
        <v>15.418381344307269</v>
      </c>
      <c r="G114" s="7">
        <f>PowerProfiling[[#This Row],[IL Max Cadence (RPM)]]*0.5</f>
        <v>129.5</v>
      </c>
      <c r="H114" s="7">
        <v>157</v>
      </c>
      <c r="I114">
        <v>259</v>
      </c>
      <c r="J114" s="8">
        <v>35.950000000000003</v>
      </c>
      <c r="K114">
        <v>1329</v>
      </c>
      <c r="L114" s="6">
        <f>PowerProfiling[[#This Row],[S500Peak Power]]/PowerProfiling[[#This Row],[Rider Weight]]</f>
        <v>18.230452674897119</v>
      </c>
      <c r="M114" s="6">
        <v>80</v>
      </c>
      <c r="N114">
        <v>1131</v>
      </c>
      <c r="O114">
        <v>922</v>
      </c>
      <c r="P114">
        <v>794</v>
      </c>
      <c r="Q114" s="8">
        <f>((PowerProfiling[[#This Row],[S500Peak Power]]-PowerProfiling[[#This Row],[30s MMP]])/PowerProfiling[[#This Row],[S500Peak Power]])*100</f>
        <v>40.255831452219716</v>
      </c>
      <c r="R114">
        <v>75.5</v>
      </c>
      <c r="S114">
        <v>97.5</v>
      </c>
      <c r="T114">
        <v>119.5</v>
      </c>
      <c r="U114">
        <v>131.5</v>
      </c>
      <c r="V114">
        <v>141.5</v>
      </c>
      <c r="W114">
        <v>153</v>
      </c>
      <c r="X114">
        <v>172</v>
      </c>
      <c r="Y114">
        <v>185.5</v>
      </c>
      <c r="Z114">
        <v>852</v>
      </c>
      <c r="AA114">
        <v>1023.5</v>
      </c>
      <c r="AB114">
        <v>1139.5</v>
      </c>
      <c r="AC114">
        <v>1162.5</v>
      </c>
      <c r="AD114">
        <v>1160.5</v>
      </c>
      <c r="AE114">
        <v>1117.5</v>
      </c>
      <c r="AF114">
        <v>1004</v>
      </c>
      <c r="AG114">
        <v>858.5</v>
      </c>
      <c r="AH114" s="6">
        <f t="shared" si="34"/>
        <v>107.76159855440649</v>
      </c>
      <c r="AI114" s="6">
        <f t="shared" si="34"/>
        <v>100.24312877203378</v>
      </c>
      <c r="AJ114" s="6">
        <f t="shared" si="34"/>
        <v>91.057936897011587</v>
      </c>
      <c r="AK114" s="6">
        <f t="shared" si="34"/>
        <v>84.418686544940684</v>
      </c>
      <c r="AL114" s="6">
        <f t="shared" si="34"/>
        <v>78.317729240202638</v>
      </c>
      <c r="AM114" s="6">
        <f t="shared" si="34"/>
        <v>69.747313296154147</v>
      </c>
      <c r="AN114" s="6">
        <f t="shared" si="34"/>
        <v>55.741242859626603</v>
      </c>
      <c r="AO114" s="6">
        <f t="shared" si="34"/>
        <v>44.194453469884252</v>
      </c>
      <c r="AP114" s="6">
        <v>25.3</v>
      </c>
      <c r="AQ114" s="6">
        <v>1008</v>
      </c>
      <c r="AR114" s="6">
        <v>42</v>
      </c>
      <c r="AS114" s="9">
        <v>1.171</v>
      </c>
      <c r="AT114" s="8">
        <v>35.93</v>
      </c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idden="1">
      <c r="A115" t="s">
        <v>167</v>
      </c>
      <c r="B115" s="5">
        <v>43563</v>
      </c>
      <c r="C115" s="3">
        <v>77</v>
      </c>
      <c r="D115" s="4">
        <v>96</v>
      </c>
      <c r="E115" s="4">
        <v>1107</v>
      </c>
      <c r="F115" s="6">
        <f>PowerProfiling[[#This Row],[IL Peak Power (W)]]/PowerProfiling[[#This Row],[Rider Weight]]</f>
        <v>14.376623376623376</v>
      </c>
      <c r="G115" s="7">
        <f>PowerProfiling[[#This Row],[IL Max Cadence (RPM)]]*0.5</f>
        <v>107.5</v>
      </c>
      <c r="H115" s="7">
        <v>192</v>
      </c>
      <c r="I115">
        <v>215</v>
      </c>
      <c r="J115" s="8"/>
      <c r="L115" s="6"/>
      <c r="M115" s="6"/>
      <c r="Q115" s="8"/>
      <c r="R115">
        <v>74</v>
      </c>
      <c r="S115">
        <v>98.5</v>
      </c>
      <c r="T115">
        <v>114.5</v>
      </c>
      <c r="U115">
        <v>135.5</v>
      </c>
      <c r="V115">
        <v>156.5</v>
      </c>
      <c r="W115">
        <v>164</v>
      </c>
      <c r="X115">
        <v>171</v>
      </c>
      <c r="Y115">
        <v>177.5</v>
      </c>
      <c r="Z115">
        <v>955</v>
      </c>
      <c r="AA115">
        <v>1093.5</v>
      </c>
      <c r="AB115">
        <v>1136</v>
      </c>
      <c r="AC115">
        <v>1043</v>
      </c>
      <c r="AD115">
        <v>898</v>
      </c>
      <c r="AE115">
        <v>845.5</v>
      </c>
      <c r="AF115">
        <v>717</v>
      </c>
      <c r="AG115">
        <v>619</v>
      </c>
      <c r="AH115" s="6">
        <f t="shared" si="34"/>
        <v>123.23754377250816</v>
      </c>
      <c r="AI115" s="6">
        <f t="shared" si="34"/>
        <v>106.01173417522085</v>
      </c>
      <c r="AJ115" s="6">
        <f t="shared" si="34"/>
        <v>94.742366123524775</v>
      </c>
      <c r="AK115" s="6">
        <f t="shared" si="34"/>
        <v>73.50491762871448</v>
      </c>
      <c r="AL115" s="6">
        <f t="shared" si="34"/>
        <v>54.794046861286397</v>
      </c>
      <c r="AM115" s="6">
        <f t="shared" si="34"/>
        <v>49.231282091779583</v>
      </c>
      <c r="AN115" s="6">
        <f t="shared" si="34"/>
        <v>40.040033051539993</v>
      </c>
      <c r="AO115" s="6">
        <f t="shared" si="34"/>
        <v>33.301490627791516</v>
      </c>
      <c r="AP115" s="6">
        <v>25.3</v>
      </c>
      <c r="AQ115" s="6">
        <v>1008</v>
      </c>
      <c r="AR115" s="6">
        <v>42</v>
      </c>
      <c r="AS115" s="9">
        <v>1.171</v>
      </c>
      <c r="AT115" s="8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idden="1">
      <c r="A116" t="s">
        <v>49</v>
      </c>
      <c r="B116" s="5">
        <v>43472</v>
      </c>
      <c r="C116" s="3">
        <v>64</v>
      </c>
      <c r="D116" s="4">
        <v>96</v>
      </c>
      <c r="E116" s="4">
        <v>1066</v>
      </c>
      <c r="F116" s="6">
        <f>PowerProfiling[[#This Row],[IL Peak Power (W)]]/PowerProfiling[[#This Row],[Rider Weight]]</f>
        <v>16.65625</v>
      </c>
      <c r="G116" s="7">
        <f>PowerProfiling[[#This Row],[IL Max Cadence (RPM)]]*0.5</f>
        <v>130.5</v>
      </c>
      <c r="H116" s="7">
        <v>151</v>
      </c>
      <c r="I116">
        <v>261</v>
      </c>
      <c r="J116" s="8">
        <v>35.799999999999997</v>
      </c>
      <c r="L116" s="6"/>
      <c r="M116" s="6"/>
      <c r="Q116" s="8"/>
      <c r="R116">
        <v>72.5</v>
      </c>
      <c r="S116">
        <v>95.5</v>
      </c>
      <c r="T116">
        <v>111</v>
      </c>
      <c r="U116">
        <v>129</v>
      </c>
      <c r="V116">
        <v>142.5</v>
      </c>
      <c r="W116">
        <v>154</v>
      </c>
      <c r="X116">
        <v>171</v>
      </c>
      <c r="Y116">
        <v>182.5</v>
      </c>
      <c r="Z116">
        <v>795.5</v>
      </c>
      <c r="AA116">
        <v>1000</v>
      </c>
      <c r="AB116">
        <v>1056</v>
      </c>
      <c r="AC116">
        <v>1096.5</v>
      </c>
      <c r="AD116">
        <v>1071</v>
      </c>
      <c r="AE116">
        <v>1019</v>
      </c>
      <c r="AF116">
        <v>967</v>
      </c>
      <c r="AG116">
        <v>890.5</v>
      </c>
      <c r="AH116" s="6">
        <f t="shared" si="34"/>
        <v>104.77883356932642</v>
      </c>
      <c r="AI116" s="6">
        <f t="shared" si="34"/>
        <v>99.992634403285038</v>
      </c>
      <c r="AJ116" s="6">
        <f t="shared" si="34"/>
        <v>90.847362110833231</v>
      </c>
      <c r="AK116" s="6">
        <f t="shared" si="34"/>
        <v>81.169020976866619</v>
      </c>
      <c r="AL116" s="6">
        <f t="shared" si="34"/>
        <v>71.770502758492597</v>
      </c>
      <c r="AM116" s="6">
        <f t="shared" si="34"/>
        <v>63.186579354795334</v>
      </c>
      <c r="AN116" s="6">
        <f t="shared" si="34"/>
        <v>54.000992971881686</v>
      </c>
      <c r="AO116" s="6">
        <f t="shared" si="34"/>
        <v>46.595334846027228</v>
      </c>
      <c r="AP116" s="6">
        <v>27</v>
      </c>
      <c r="AQ116" s="6">
        <v>1011</v>
      </c>
      <c r="AR116" s="6">
        <v>57</v>
      </c>
      <c r="AS116" s="9">
        <v>1.165</v>
      </c>
      <c r="AT116" s="8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idden="1">
      <c r="A117" t="s">
        <v>49</v>
      </c>
      <c r="B117" s="5">
        <v>44036</v>
      </c>
      <c r="C117" s="3">
        <v>67</v>
      </c>
      <c r="D117" s="4">
        <v>100</v>
      </c>
      <c r="E117" s="4">
        <v>1023</v>
      </c>
      <c r="F117" s="6">
        <f>PowerProfiling[[#This Row],[IL Peak Power (W)]]/PowerProfiling[[#This Row],[Rider Weight]]</f>
        <v>15.26865671641791</v>
      </c>
      <c r="G117" s="7">
        <f>PowerProfiling[[#This Row],[IL Max Cadence (RPM)]]*0.5</f>
        <v>136</v>
      </c>
      <c r="H117" s="7">
        <v>143</v>
      </c>
      <c r="I117">
        <v>272</v>
      </c>
      <c r="K117">
        <v>1141</v>
      </c>
      <c r="L117" s="6">
        <f>PowerProfiling[[#This Row],[S500Peak Power]]/PowerProfiling[[#This Row],[Rider Weight]]</f>
        <v>17.029850746268657</v>
      </c>
      <c r="M117" s="6"/>
      <c r="N117">
        <v>1031</v>
      </c>
      <c r="O117">
        <v>852</v>
      </c>
      <c r="Q117" s="7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9"/>
      <c r="AT117" s="8"/>
      <c r="AU117">
        <v>1141</v>
      </c>
      <c r="AV117">
        <v>710</v>
      </c>
      <c r="AW117">
        <v>529</v>
      </c>
      <c r="AX117">
        <v>40</v>
      </c>
      <c r="AY117">
        <v>1025</v>
      </c>
      <c r="AZ117">
        <v>629</v>
      </c>
      <c r="BA117">
        <v>466</v>
      </c>
      <c r="BB117">
        <v>43</v>
      </c>
      <c r="BC117">
        <v>1119</v>
      </c>
      <c r="BD117">
        <v>590</v>
      </c>
      <c r="BE117">
        <v>422</v>
      </c>
      <c r="BF117">
        <v>48</v>
      </c>
      <c r="BG117" s="6">
        <f t="shared" ref="BG117:BH119" si="35">((AU117-BC117)/AU117)*100</f>
        <v>1.9281332164767746</v>
      </c>
      <c r="BH117" s="6">
        <f t="shared" si="35"/>
        <v>16.901408450704224</v>
      </c>
      <c r="BI117" s="6"/>
    </row>
    <row r="118" spans="1:61" hidden="1">
      <c r="A118" t="s">
        <v>49</v>
      </c>
      <c r="B118" s="5">
        <v>44204</v>
      </c>
      <c r="C118" s="3">
        <v>63.9</v>
      </c>
      <c r="D118" s="4">
        <v>100</v>
      </c>
      <c r="E118" s="4">
        <v>1004</v>
      </c>
      <c r="F118" s="6">
        <f>PowerProfiling[[#This Row],[IL Peak Power (W)]]/PowerProfiling[[#This Row],[Rider Weight]]</f>
        <v>15.712050078247263</v>
      </c>
      <c r="G118" s="7">
        <f>PowerProfiling[[#This Row],[IL Max Cadence (RPM)]]*0.5</f>
        <v>137.5</v>
      </c>
      <c r="H118" s="7">
        <v>139</v>
      </c>
      <c r="I118">
        <v>275</v>
      </c>
      <c r="K118">
        <v>1103</v>
      </c>
      <c r="L118" s="6">
        <f>PowerProfiling[[#This Row],[S500Peak Power]]/PowerProfiling[[#This Row],[Rider Weight]]</f>
        <v>17.26134585289515</v>
      </c>
      <c r="M118" s="6"/>
      <c r="N118">
        <v>968</v>
      </c>
      <c r="O118">
        <v>804</v>
      </c>
      <c r="Q118" s="7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9"/>
      <c r="AT118" s="8"/>
      <c r="AU118">
        <v>1076</v>
      </c>
      <c r="AV118">
        <v>642</v>
      </c>
      <c r="AW118">
        <v>490</v>
      </c>
      <c r="AX118">
        <v>42</v>
      </c>
      <c r="AY118">
        <v>1103</v>
      </c>
      <c r="AZ118">
        <v>672</v>
      </c>
      <c r="BA118">
        <v>507</v>
      </c>
      <c r="BB118">
        <v>41</v>
      </c>
      <c r="BC118">
        <v>1005</v>
      </c>
      <c r="BD118">
        <v>560</v>
      </c>
      <c r="BE118">
        <v>365</v>
      </c>
      <c r="BF118">
        <v>54</v>
      </c>
      <c r="BG118" s="6">
        <f t="shared" si="35"/>
        <v>6.5985130111524164</v>
      </c>
      <c r="BH118" s="6">
        <f t="shared" si="35"/>
        <v>12.772585669781931</v>
      </c>
      <c r="BI118" s="6"/>
    </row>
    <row r="119" spans="1:61" hidden="1">
      <c r="A119" t="s">
        <v>44</v>
      </c>
      <c r="B119" s="5">
        <v>44097</v>
      </c>
      <c r="C119" s="3">
        <v>68.8</v>
      </c>
      <c r="D119" s="4">
        <v>100</v>
      </c>
      <c r="E119" s="4"/>
      <c r="F119" s="6"/>
      <c r="G119" s="7"/>
      <c r="H119" s="7"/>
      <c r="K119">
        <v>1260</v>
      </c>
      <c r="L119" s="6">
        <f>PowerProfiling[[#This Row],[S500Peak Power]]/PowerProfiling[[#This Row],[Rider Weight]]</f>
        <v>18.313953488372093</v>
      </c>
      <c r="M119" s="6"/>
      <c r="N119">
        <v>1114</v>
      </c>
      <c r="O119">
        <v>925</v>
      </c>
      <c r="Q119" s="7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9"/>
      <c r="AT119" s="8"/>
      <c r="AU119">
        <v>1260</v>
      </c>
      <c r="AV119">
        <v>795</v>
      </c>
      <c r="AW119">
        <v>557</v>
      </c>
      <c r="AX119">
        <v>46</v>
      </c>
      <c r="AY119">
        <v>1223</v>
      </c>
      <c r="AZ119">
        <v>713</v>
      </c>
      <c r="BA119">
        <v>447</v>
      </c>
      <c r="BB119">
        <v>54</v>
      </c>
      <c r="BC119">
        <v>1052</v>
      </c>
      <c r="BD119">
        <v>518</v>
      </c>
      <c r="BE119">
        <v>235</v>
      </c>
      <c r="BF119">
        <v>71</v>
      </c>
      <c r="BG119" s="6">
        <f t="shared" si="35"/>
        <v>16.507936507936506</v>
      </c>
      <c r="BH119" s="6">
        <f t="shared" si="35"/>
        <v>34.842767295597483</v>
      </c>
      <c r="BI119" s="6"/>
    </row>
    <row r="120" spans="1:61">
      <c r="E120" s="8"/>
    </row>
    <row r="121" spans="1:61">
      <c r="E121" s="8"/>
    </row>
    <row r="122" spans="1:61">
      <c r="E122" s="8"/>
    </row>
    <row r="123" spans="1:61">
      <c r="E123" s="8"/>
    </row>
    <row r="124" spans="1:61">
      <c r="E124" s="8"/>
    </row>
    <row r="125" spans="1:61">
      <c r="E125" s="8"/>
    </row>
    <row r="126" spans="1:61">
      <c r="E126" s="8"/>
    </row>
    <row r="127" spans="1:61">
      <c r="E127" s="8"/>
    </row>
    <row r="128" spans="1:61">
      <c r="E128" s="8"/>
    </row>
    <row r="129" spans="5:5">
      <c r="E129" s="8"/>
    </row>
    <row r="130" spans="5:5">
      <c r="E130" s="8"/>
    </row>
    <row r="131" spans="5:5">
      <c r="E131" s="8"/>
    </row>
    <row r="132" spans="5:5">
      <c r="E132" s="8"/>
    </row>
    <row r="133" spans="5:5">
      <c r="E133" s="8"/>
    </row>
    <row r="134" spans="5:5">
      <c r="E134" s="8"/>
    </row>
    <row r="135" spans="5:5">
      <c r="E135" s="8"/>
    </row>
    <row r="136" spans="5:5">
      <c r="E136" s="8"/>
    </row>
    <row r="137" spans="5:5">
      <c r="E137" s="8"/>
    </row>
    <row r="138" spans="5:5">
      <c r="E138" s="8"/>
    </row>
    <row r="139" spans="5:5">
      <c r="E139" s="8"/>
    </row>
    <row r="140" spans="5:5">
      <c r="E140" s="8"/>
    </row>
    <row r="141" spans="5:5">
      <c r="E141" s="8"/>
    </row>
    <row r="142" spans="5:5">
      <c r="E142" s="8"/>
    </row>
    <row r="143" spans="5:5">
      <c r="E143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2FCD-610E-4A9E-9518-BB13227F3E2C}">
  <dimension ref="A1:E14"/>
  <sheetViews>
    <sheetView workbookViewId="0">
      <selection activeCell="B14" sqref="B14"/>
    </sheetView>
  </sheetViews>
  <sheetFormatPr defaultRowHeight="14.45"/>
  <cols>
    <col min="1" max="1" width="14.28515625" bestFit="1" customWidth="1"/>
    <col min="2" max="2" width="10.7109375" bestFit="1" customWidth="1"/>
    <col min="3" max="3" width="13.7109375" bestFit="1" customWidth="1"/>
  </cols>
  <sheetData>
    <row r="1" spans="1:5">
      <c r="A1" t="s">
        <v>168</v>
      </c>
      <c r="B1" t="s">
        <v>1</v>
      </c>
      <c r="C1" t="s">
        <v>169</v>
      </c>
      <c r="D1" t="s">
        <v>170</v>
      </c>
      <c r="E1" t="s">
        <v>171</v>
      </c>
    </row>
    <row r="2" spans="1:5">
      <c r="A2" t="s">
        <v>48</v>
      </c>
      <c r="B2" s="5">
        <v>44029</v>
      </c>
      <c r="C2" s="8">
        <v>3.47</v>
      </c>
      <c r="D2" s="8">
        <v>13.84</v>
      </c>
      <c r="E2">
        <v>14.53</v>
      </c>
    </row>
    <row r="3" spans="1:5">
      <c r="A3" t="s">
        <v>48</v>
      </c>
      <c r="B3" s="5">
        <v>44077</v>
      </c>
      <c r="C3" s="8">
        <v>3.22</v>
      </c>
      <c r="D3" s="8">
        <v>14.4</v>
      </c>
      <c r="E3">
        <v>12.98</v>
      </c>
    </row>
    <row r="4" spans="1:5">
      <c r="A4" t="s">
        <v>40</v>
      </c>
      <c r="B4" s="5">
        <v>44077</v>
      </c>
      <c r="C4" s="8">
        <v>3.39</v>
      </c>
      <c r="D4" s="8">
        <v>18.07</v>
      </c>
      <c r="E4">
        <v>10.97</v>
      </c>
    </row>
    <row r="5" spans="1:5">
      <c r="A5" t="s">
        <v>39</v>
      </c>
      <c r="B5" s="5">
        <v>44077</v>
      </c>
      <c r="C5" s="8">
        <v>3.67</v>
      </c>
      <c r="D5" s="8">
        <v>16.41</v>
      </c>
      <c r="E5">
        <v>13.01</v>
      </c>
    </row>
    <row r="6" spans="1:5">
      <c r="A6" t="s">
        <v>55</v>
      </c>
      <c r="B6" s="5">
        <v>44077</v>
      </c>
      <c r="C6" s="8">
        <v>3.77</v>
      </c>
      <c r="D6" s="8">
        <v>27.6</v>
      </c>
      <c r="E6">
        <v>8.15</v>
      </c>
    </row>
    <row r="7" spans="1:5">
      <c r="A7" t="s">
        <v>48</v>
      </c>
      <c r="B7" s="5">
        <v>44082</v>
      </c>
      <c r="C7" s="8">
        <v>3.1124999999999998</v>
      </c>
      <c r="D7" s="8">
        <v>14.715</v>
      </c>
      <c r="E7" s="8">
        <v>12.392409277144464</v>
      </c>
    </row>
    <row r="8" spans="1:5">
      <c r="A8" t="s">
        <v>47</v>
      </c>
      <c r="B8" s="5">
        <v>44082</v>
      </c>
      <c r="C8" s="8">
        <v>3.3875000000000002</v>
      </c>
      <c r="D8" s="8">
        <v>22.005000000000003</v>
      </c>
      <c r="E8" s="8">
        <v>9.0852602359893684</v>
      </c>
    </row>
    <row r="9" spans="1:5">
      <c r="A9" t="s">
        <v>43</v>
      </c>
      <c r="B9" s="5">
        <v>44082</v>
      </c>
      <c r="C9" s="8">
        <v>2.7325000000000004</v>
      </c>
      <c r="D9" s="8">
        <v>15.025</v>
      </c>
      <c r="E9" s="8">
        <v>10.711338779679373</v>
      </c>
    </row>
    <row r="10" spans="1:5">
      <c r="A10" t="s">
        <v>48</v>
      </c>
      <c r="B10" s="5">
        <v>44131</v>
      </c>
      <c r="C10" s="8">
        <v>3.3</v>
      </c>
      <c r="D10" s="8">
        <v>13.26</v>
      </c>
      <c r="E10">
        <v>14.37</v>
      </c>
    </row>
    <row r="11" spans="1:5">
      <c r="A11" t="s">
        <v>40</v>
      </c>
      <c r="B11" s="5">
        <v>44131</v>
      </c>
      <c r="C11" s="8">
        <v>3.46</v>
      </c>
      <c r="D11" s="8">
        <v>17.510000000000002</v>
      </c>
      <c r="E11">
        <v>11.64</v>
      </c>
    </row>
    <row r="12" spans="1:5">
      <c r="A12" t="s">
        <v>39</v>
      </c>
      <c r="B12" s="5">
        <v>44131</v>
      </c>
      <c r="C12" s="8">
        <v>3.91</v>
      </c>
      <c r="D12" s="8">
        <v>15.98</v>
      </c>
      <c r="E12">
        <v>14.21</v>
      </c>
    </row>
    <row r="13" spans="1:5">
      <c r="A13" t="s">
        <v>55</v>
      </c>
      <c r="B13" s="5">
        <v>44131</v>
      </c>
      <c r="C13" s="8">
        <v>3.87</v>
      </c>
      <c r="D13" s="8">
        <v>21.03</v>
      </c>
      <c r="E13">
        <v>10.83</v>
      </c>
    </row>
    <row r="14" spans="1:5">
      <c r="A14" t="s">
        <v>43</v>
      </c>
      <c r="B14" s="5">
        <v>44131</v>
      </c>
      <c r="C14" s="8">
        <v>2.93</v>
      </c>
      <c r="D14" s="8">
        <v>11.62</v>
      </c>
      <c r="E14">
        <v>14.62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B6303-0E4A-45E9-ACE8-1A8C765F9511}">
  <dimension ref="A1:Q40"/>
  <sheetViews>
    <sheetView workbookViewId="0">
      <selection activeCell="L35" sqref="L35"/>
    </sheetView>
  </sheetViews>
  <sheetFormatPr defaultRowHeight="14.45"/>
  <cols>
    <col min="1" max="1" width="14.28515625" bestFit="1" customWidth="1"/>
    <col min="2" max="2" width="10.28515625" bestFit="1" customWidth="1"/>
    <col min="4" max="5" width="10.28515625" bestFit="1" customWidth="1"/>
    <col min="6" max="6" width="10.28515625" customWidth="1"/>
    <col min="7" max="7" width="10.28515625" bestFit="1" customWidth="1"/>
    <col min="8" max="10" width="10.85546875" bestFit="1" customWidth="1"/>
    <col min="17" max="17" width="9.28515625" customWidth="1"/>
  </cols>
  <sheetData>
    <row r="1" spans="1:17">
      <c r="A1" s="17" t="s">
        <v>0</v>
      </c>
      <c r="B1" s="1" t="s">
        <v>1</v>
      </c>
      <c r="C1" s="1" t="s">
        <v>88</v>
      </c>
      <c r="D1" s="2" t="s">
        <v>150</v>
      </c>
      <c r="E1" s="2" t="s">
        <v>151</v>
      </c>
      <c r="F1" s="2" t="s">
        <v>152</v>
      </c>
      <c r="G1" s="2" t="s">
        <v>153</v>
      </c>
      <c r="H1" s="2" t="s">
        <v>154</v>
      </c>
      <c r="I1" s="2" t="s">
        <v>155</v>
      </c>
      <c r="J1" s="2" t="s">
        <v>156</v>
      </c>
      <c r="K1" s="2" t="s">
        <v>157</v>
      </c>
      <c r="L1" s="2" t="s">
        <v>158</v>
      </c>
      <c r="M1" s="2" t="s">
        <v>159</v>
      </c>
      <c r="N1" s="2" t="s">
        <v>160</v>
      </c>
      <c r="O1" s="2" t="s">
        <v>161</v>
      </c>
      <c r="P1" s="2" t="s">
        <v>162</v>
      </c>
      <c r="Q1" s="2" t="s">
        <v>163</v>
      </c>
    </row>
    <row r="2" spans="1:17">
      <c r="A2" t="s">
        <v>39</v>
      </c>
      <c r="B2" s="5">
        <v>44036</v>
      </c>
      <c r="C2">
        <v>104</v>
      </c>
      <c r="D2">
        <v>1993</v>
      </c>
      <c r="E2">
        <v>1199</v>
      </c>
      <c r="F2">
        <v>827</v>
      </c>
      <c r="G2">
        <v>47</v>
      </c>
      <c r="H2">
        <v>1928</v>
      </c>
      <c r="I2">
        <v>1097</v>
      </c>
      <c r="J2">
        <v>668</v>
      </c>
      <c r="K2">
        <v>56</v>
      </c>
      <c r="L2">
        <v>1588</v>
      </c>
      <c r="M2">
        <v>792</v>
      </c>
      <c r="N2">
        <v>341</v>
      </c>
      <c r="O2">
        <v>73</v>
      </c>
      <c r="P2" s="6">
        <f>((D2-L2)/D2)*100</f>
        <v>20.321123933768188</v>
      </c>
      <c r="Q2" s="6">
        <f>((E2-M2)/E2)*100</f>
        <v>33.944954128440372</v>
      </c>
    </row>
    <row r="3" spans="1:17">
      <c r="A3" t="s">
        <v>40</v>
      </c>
      <c r="B3" s="5">
        <v>44036</v>
      </c>
      <c r="C3">
        <v>104</v>
      </c>
      <c r="D3">
        <v>1858</v>
      </c>
      <c r="E3">
        <v>1217</v>
      </c>
      <c r="F3">
        <v>878</v>
      </c>
      <c r="G3">
        <v>41</v>
      </c>
      <c r="H3">
        <v>1749</v>
      </c>
      <c r="I3">
        <v>1114</v>
      </c>
      <c r="J3">
        <v>751</v>
      </c>
      <c r="K3">
        <v>47</v>
      </c>
      <c r="L3">
        <v>1484</v>
      </c>
      <c r="M3">
        <v>818</v>
      </c>
      <c r="N3">
        <v>392</v>
      </c>
      <c r="O3">
        <v>67</v>
      </c>
      <c r="P3" s="6">
        <f t="shared" ref="P3:P4" si="0">((D3-L3)/D3)*100</f>
        <v>20.129171151776106</v>
      </c>
      <c r="Q3" s="6">
        <f t="shared" ref="Q3:Q4" si="1">((E3-M3)/E3)*100</f>
        <v>32.785538208709944</v>
      </c>
    </row>
    <row r="4" spans="1:17">
      <c r="A4" t="s">
        <v>55</v>
      </c>
      <c r="B4" s="5">
        <v>44036</v>
      </c>
      <c r="C4">
        <v>104</v>
      </c>
      <c r="D4">
        <v>1922</v>
      </c>
      <c r="E4">
        <v>1122</v>
      </c>
      <c r="F4">
        <v>734</v>
      </c>
      <c r="G4">
        <v>52</v>
      </c>
      <c r="H4">
        <v>1924</v>
      </c>
      <c r="I4">
        <v>1062</v>
      </c>
      <c r="J4">
        <v>654</v>
      </c>
      <c r="K4">
        <v>57</v>
      </c>
      <c r="L4">
        <v>1780</v>
      </c>
      <c r="M4">
        <v>966</v>
      </c>
      <c r="N4">
        <v>592</v>
      </c>
      <c r="O4">
        <v>58</v>
      </c>
      <c r="P4" s="6">
        <f t="shared" si="0"/>
        <v>7.3881373569198754</v>
      </c>
      <c r="Q4" s="6">
        <f t="shared" si="1"/>
        <v>13.903743315508022</v>
      </c>
    </row>
    <row r="5" spans="1:17">
      <c r="A5" t="s">
        <v>47</v>
      </c>
      <c r="B5" s="5">
        <v>44036</v>
      </c>
      <c r="C5">
        <v>100</v>
      </c>
      <c r="D5">
        <v>1403</v>
      </c>
      <c r="E5">
        <v>868</v>
      </c>
      <c r="F5">
        <v>606</v>
      </c>
      <c r="G5">
        <v>47</v>
      </c>
      <c r="H5">
        <v>1378</v>
      </c>
      <c r="I5">
        <v>852</v>
      </c>
      <c r="J5">
        <v>589</v>
      </c>
      <c r="K5">
        <v>48</v>
      </c>
      <c r="L5">
        <v>1231</v>
      </c>
      <c r="M5">
        <v>711</v>
      </c>
      <c r="N5">
        <v>446</v>
      </c>
      <c r="O5">
        <v>55</v>
      </c>
      <c r="P5" s="6">
        <f t="shared" ref="P5:P7" si="2">((D5-L5)/D5)*100</f>
        <v>12.25944404846757</v>
      </c>
      <c r="Q5" s="6">
        <f t="shared" ref="Q5:Q7" si="3">((E5-M5)/E5)*100</f>
        <v>18.087557603686637</v>
      </c>
    </row>
    <row r="6" spans="1:17">
      <c r="A6" t="s">
        <v>59</v>
      </c>
      <c r="B6" s="5">
        <v>44036</v>
      </c>
      <c r="C6">
        <v>100</v>
      </c>
      <c r="D6">
        <v>1365</v>
      </c>
      <c r="E6">
        <v>873</v>
      </c>
      <c r="F6">
        <v>638</v>
      </c>
      <c r="G6">
        <v>42</v>
      </c>
      <c r="H6">
        <v>1352</v>
      </c>
      <c r="I6">
        <v>835</v>
      </c>
      <c r="J6">
        <v>586</v>
      </c>
      <c r="K6">
        <v>45</v>
      </c>
      <c r="L6">
        <v>1236</v>
      </c>
      <c r="M6">
        <v>682</v>
      </c>
      <c r="N6">
        <v>421</v>
      </c>
      <c r="O6">
        <v>56</v>
      </c>
      <c r="P6" s="6">
        <f t="shared" si="2"/>
        <v>9.4505494505494507</v>
      </c>
      <c r="Q6" s="6">
        <f t="shared" si="3"/>
        <v>21.878579610538374</v>
      </c>
    </row>
    <row r="7" spans="1:17">
      <c r="A7" t="s">
        <v>49</v>
      </c>
      <c r="B7" s="5">
        <v>44036</v>
      </c>
      <c r="C7">
        <v>100</v>
      </c>
      <c r="D7">
        <v>1141</v>
      </c>
      <c r="E7">
        <v>710</v>
      </c>
      <c r="F7">
        <v>529</v>
      </c>
      <c r="G7">
        <v>40</v>
      </c>
      <c r="H7">
        <v>1025</v>
      </c>
      <c r="I7">
        <v>629</v>
      </c>
      <c r="J7">
        <v>466</v>
      </c>
      <c r="K7">
        <v>43</v>
      </c>
      <c r="L7">
        <v>1119</v>
      </c>
      <c r="M7">
        <v>590</v>
      </c>
      <c r="N7">
        <v>422</v>
      </c>
      <c r="O7">
        <v>48</v>
      </c>
      <c r="P7" s="6">
        <f t="shared" si="2"/>
        <v>1.9281332164767746</v>
      </c>
      <c r="Q7" s="6">
        <f t="shared" si="3"/>
        <v>16.901408450704224</v>
      </c>
    </row>
    <row r="8" spans="1:17">
      <c r="A8" t="s">
        <v>48</v>
      </c>
      <c r="B8" s="5">
        <v>44036</v>
      </c>
      <c r="C8">
        <v>104</v>
      </c>
      <c r="D8">
        <v>1860</v>
      </c>
      <c r="E8">
        <v>1165</v>
      </c>
      <c r="F8">
        <v>804</v>
      </c>
      <c r="G8">
        <v>47</v>
      </c>
      <c r="H8">
        <v>1835</v>
      </c>
      <c r="I8">
        <v>1111</v>
      </c>
      <c r="J8">
        <v>760</v>
      </c>
      <c r="K8">
        <v>48</v>
      </c>
      <c r="L8">
        <v>1599</v>
      </c>
      <c r="M8">
        <v>959</v>
      </c>
      <c r="N8">
        <v>579</v>
      </c>
      <c r="O8">
        <v>57</v>
      </c>
      <c r="P8" s="6">
        <f>((D8-L8)/D8)*100</f>
        <v>14.032258064516128</v>
      </c>
      <c r="Q8" s="6">
        <f>((E8-M8)/E8)*100</f>
        <v>17.682403433476395</v>
      </c>
    </row>
    <row r="9" spans="1:17">
      <c r="A9" t="s">
        <v>42</v>
      </c>
      <c r="B9" s="5">
        <v>44048</v>
      </c>
      <c r="C9">
        <v>100</v>
      </c>
      <c r="D9">
        <v>1171</v>
      </c>
      <c r="E9">
        <v>694</v>
      </c>
      <c r="F9">
        <v>475</v>
      </c>
      <c r="G9">
        <v>48</v>
      </c>
      <c r="H9">
        <v>1104</v>
      </c>
      <c r="I9">
        <v>575</v>
      </c>
      <c r="J9">
        <v>362</v>
      </c>
      <c r="K9">
        <v>56</v>
      </c>
      <c r="L9">
        <v>936</v>
      </c>
      <c r="M9">
        <v>443</v>
      </c>
      <c r="N9">
        <v>210</v>
      </c>
      <c r="O9">
        <v>70</v>
      </c>
      <c r="P9" s="6">
        <f>((D9-L9)/D9)*100</f>
        <v>20.068317677198973</v>
      </c>
      <c r="Q9" s="6">
        <f>((E9-M9)/E9)*100</f>
        <v>36.1671469740634</v>
      </c>
    </row>
    <row r="10" spans="1:17">
      <c r="A10" t="s">
        <v>39</v>
      </c>
      <c r="B10" s="5">
        <v>44097</v>
      </c>
      <c r="C10">
        <v>104</v>
      </c>
      <c r="D10">
        <v>2125</v>
      </c>
      <c r="E10">
        <v>1272</v>
      </c>
      <c r="F10">
        <v>876</v>
      </c>
      <c r="G10">
        <v>47</v>
      </c>
      <c r="H10">
        <v>2052</v>
      </c>
      <c r="I10">
        <v>1121</v>
      </c>
      <c r="J10">
        <v>626</v>
      </c>
      <c r="K10">
        <v>60</v>
      </c>
      <c r="L10">
        <v>1753</v>
      </c>
      <c r="M10">
        <v>834</v>
      </c>
      <c r="N10">
        <v>329</v>
      </c>
      <c r="O10">
        <v>76</v>
      </c>
      <c r="P10" s="6">
        <f t="shared" ref="P10:P17" si="4">((D10-L10)/D10)*100</f>
        <v>17.505882352941178</v>
      </c>
      <c r="Q10" s="6">
        <f t="shared" ref="Q10:Q17" si="5">((E10-M10)/E10)*100</f>
        <v>34.433962264150942</v>
      </c>
    </row>
    <row r="11" spans="1:17">
      <c r="A11" t="s">
        <v>40</v>
      </c>
      <c r="B11" s="5">
        <v>44097</v>
      </c>
      <c r="C11">
        <v>104</v>
      </c>
      <c r="D11">
        <v>1863</v>
      </c>
      <c r="E11">
        <v>1176</v>
      </c>
      <c r="F11">
        <v>818</v>
      </c>
      <c r="G11">
        <v>44</v>
      </c>
      <c r="H11">
        <v>1746</v>
      </c>
      <c r="I11">
        <v>1019</v>
      </c>
      <c r="J11">
        <v>601</v>
      </c>
      <c r="K11">
        <v>57</v>
      </c>
      <c r="L11">
        <v>1584</v>
      </c>
      <c r="M11">
        <v>823</v>
      </c>
      <c r="N11">
        <v>387</v>
      </c>
      <c r="O11">
        <v>69</v>
      </c>
      <c r="P11" s="6">
        <f t="shared" si="4"/>
        <v>14.975845410628018</v>
      </c>
      <c r="Q11" s="6">
        <f t="shared" si="5"/>
        <v>30.017006802721085</v>
      </c>
    </row>
    <row r="12" spans="1:17">
      <c r="A12" t="s">
        <v>48</v>
      </c>
      <c r="B12" s="5">
        <v>44097</v>
      </c>
      <c r="C12">
        <v>104</v>
      </c>
      <c r="D12">
        <v>1712</v>
      </c>
      <c r="E12">
        <v>1122</v>
      </c>
      <c r="F12">
        <v>806</v>
      </c>
      <c r="G12">
        <v>41</v>
      </c>
      <c r="H12">
        <v>1692</v>
      </c>
      <c r="I12">
        <v>1051</v>
      </c>
      <c r="J12">
        <v>726</v>
      </c>
      <c r="K12">
        <v>44</v>
      </c>
      <c r="L12">
        <v>1552</v>
      </c>
      <c r="M12">
        <v>931</v>
      </c>
      <c r="N12">
        <v>556</v>
      </c>
      <c r="O12">
        <v>57</v>
      </c>
      <c r="P12" s="6">
        <f t="shared" si="4"/>
        <v>9.3457943925233646</v>
      </c>
      <c r="Q12" s="6">
        <f t="shared" si="5"/>
        <v>17.023172905525847</v>
      </c>
    </row>
    <row r="13" spans="1:17">
      <c r="A13" t="s">
        <v>55</v>
      </c>
      <c r="B13" s="5">
        <v>44097</v>
      </c>
      <c r="C13">
        <v>104</v>
      </c>
      <c r="D13">
        <v>1967</v>
      </c>
      <c r="E13">
        <v>1136</v>
      </c>
      <c r="F13">
        <v>747</v>
      </c>
      <c r="G13">
        <v>51</v>
      </c>
      <c r="H13">
        <v>1852</v>
      </c>
      <c r="I13">
        <v>1011</v>
      </c>
      <c r="J13">
        <v>621</v>
      </c>
      <c r="K13">
        <v>56</v>
      </c>
      <c r="L13">
        <v>1672</v>
      </c>
      <c r="M13">
        <v>889</v>
      </c>
      <c r="N13">
        <v>505</v>
      </c>
      <c r="O13">
        <v>60</v>
      </c>
      <c r="P13" s="6">
        <f t="shared" si="4"/>
        <v>14.997458057956278</v>
      </c>
      <c r="Q13" s="6">
        <f t="shared" si="5"/>
        <v>21.742957746478872</v>
      </c>
    </row>
    <row r="14" spans="1:17">
      <c r="A14" t="s">
        <v>43</v>
      </c>
      <c r="B14" s="5">
        <v>44097</v>
      </c>
      <c r="C14">
        <v>100</v>
      </c>
      <c r="D14">
        <v>1397</v>
      </c>
      <c r="E14">
        <v>867</v>
      </c>
      <c r="F14">
        <v>630</v>
      </c>
      <c r="G14">
        <v>41</v>
      </c>
      <c r="H14">
        <v>1322</v>
      </c>
      <c r="I14">
        <v>819</v>
      </c>
      <c r="J14">
        <v>576</v>
      </c>
      <c r="K14">
        <v>44</v>
      </c>
      <c r="L14">
        <v>1122</v>
      </c>
      <c r="M14">
        <v>657</v>
      </c>
      <c r="N14">
        <v>412</v>
      </c>
      <c r="O14">
        <v>55</v>
      </c>
      <c r="P14" s="6">
        <f t="shared" si="4"/>
        <v>19.685039370078741</v>
      </c>
      <c r="Q14" s="6">
        <f t="shared" si="5"/>
        <v>24.221453287197232</v>
      </c>
    </row>
    <row r="15" spans="1:17">
      <c r="A15" t="s">
        <v>59</v>
      </c>
      <c r="B15" s="5">
        <v>44097</v>
      </c>
      <c r="C15">
        <v>100</v>
      </c>
      <c r="D15">
        <v>1374</v>
      </c>
      <c r="E15">
        <v>875</v>
      </c>
      <c r="F15">
        <v>627</v>
      </c>
      <c r="G15">
        <v>43</v>
      </c>
      <c r="H15">
        <v>1304</v>
      </c>
      <c r="I15">
        <v>804</v>
      </c>
      <c r="J15">
        <v>566</v>
      </c>
      <c r="K15">
        <v>45</v>
      </c>
      <c r="L15">
        <v>1140</v>
      </c>
      <c r="M15">
        <v>651</v>
      </c>
      <c r="N15">
        <v>393</v>
      </c>
      <c r="O15">
        <v>56</v>
      </c>
      <c r="P15" s="6">
        <f t="shared" si="4"/>
        <v>17.030567685589521</v>
      </c>
      <c r="Q15" s="6">
        <f t="shared" si="5"/>
        <v>25.6</v>
      </c>
    </row>
    <row r="16" spans="1:17">
      <c r="A16" t="s">
        <v>42</v>
      </c>
      <c r="B16" s="5">
        <v>44097</v>
      </c>
      <c r="C16">
        <v>100</v>
      </c>
      <c r="D16">
        <v>1304</v>
      </c>
      <c r="E16">
        <v>766</v>
      </c>
      <c r="F16">
        <v>527</v>
      </c>
      <c r="G16">
        <v>47</v>
      </c>
      <c r="H16">
        <v>1193</v>
      </c>
      <c r="I16">
        <v>659</v>
      </c>
      <c r="J16">
        <v>399</v>
      </c>
      <c r="K16">
        <v>57</v>
      </c>
      <c r="L16">
        <v>1010</v>
      </c>
      <c r="M16">
        <v>465</v>
      </c>
      <c r="N16">
        <v>218</v>
      </c>
      <c r="O16">
        <v>71</v>
      </c>
      <c r="P16" s="6">
        <f t="shared" si="4"/>
        <v>22.54601226993865</v>
      </c>
      <c r="Q16" s="6">
        <f t="shared" si="5"/>
        <v>39.295039164490866</v>
      </c>
    </row>
    <row r="17" spans="1:17">
      <c r="A17" t="s">
        <v>44</v>
      </c>
      <c r="B17" s="5">
        <v>44097</v>
      </c>
      <c r="C17">
        <v>100</v>
      </c>
      <c r="D17">
        <v>1260</v>
      </c>
      <c r="E17">
        <v>795</v>
      </c>
      <c r="F17">
        <v>557</v>
      </c>
      <c r="G17">
        <v>46</v>
      </c>
      <c r="H17">
        <v>1223</v>
      </c>
      <c r="I17">
        <v>713</v>
      </c>
      <c r="J17">
        <v>447</v>
      </c>
      <c r="K17">
        <v>54</v>
      </c>
      <c r="L17">
        <v>1052</v>
      </c>
      <c r="M17">
        <v>518</v>
      </c>
      <c r="N17">
        <v>235</v>
      </c>
      <c r="O17">
        <v>71</v>
      </c>
      <c r="P17" s="6">
        <f t="shared" si="4"/>
        <v>16.507936507936506</v>
      </c>
      <c r="Q17" s="6">
        <f t="shared" si="5"/>
        <v>34.842767295597483</v>
      </c>
    </row>
    <row r="18" spans="1:17">
      <c r="A18" t="s">
        <v>39</v>
      </c>
      <c r="B18" s="5">
        <v>44140</v>
      </c>
      <c r="C18" s="7">
        <v>104</v>
      </c>
      <c r="D18">
        <v>2220</v>
      </c>
      <c r="E18">
        <v>1286</v>
      </c>
      <c r="F18">
        <v>859</v>
      </c>
      <c r="G18">
        <v>49</v>
      </c>
      <c r="H18">
        <v>2092</v>
      </c>
      <c r="I18">
        <v>1175</v>
      </c>
      <c r="J18">
        <v>705</v>
      </c>
      <c r="K18">
        <v>56</v>
      </c>
      <c r="L18">
        <v>1625</v>
      </c>
      <c r="M18">
        <v>783</v>
      </c>
      <c r="N18">
        <v>316</v>
      </c>
      <c r="O18">
        <v>74</v>
      </c>
      <c r="P18" s="6">
        <f t="shared" ref="P18:P24" si="6">((D18-L18)/D18)*100</f>
        <v>26.801801801801801</v>
      </c>
      <c r="Q18" s="6">
        <f t="shared" ref="Q18:Q24" si="7">((E18-M18)/E18)*100</f>
        <v>39.113530326594095</v>
      </c>
    </row>
    <row r="19" spans="1:17">
      <c r="A19" t="s">
        <v>40</v>
      </c>
      <c r="B19" s="5">
        <v>44140</v>
      </c>
      <c r="C19" s="7">
        <v>104</v>
      </c>
      <c r="D19">
        <v>1816</v>
      </c>
      <c r="E19">
        <v>1204</v>
      </c>
      <c r="F19">
        <v>831</v>
      </c>
      <c r="G19">
        <v>44</v>
      </c>
      <c r="H19">
        <v>1800</v>
      </c>
      <c r="I19">
        <v>1072</v>
      </c>
      <c r="J19">
        <v>618</v>
      </c>
      <c r="K19">
        <v>57</v>
      </c>
      <c r="L19">
        <v>1688</v>
      </c>
      <c r="M19">
        <v>924</v>
      </c>
      <c r="N19">
        <v>476</v>
      </c>
      <c r="O19">
        <v>64</v>
      </c>
      <c r="P19" s="6">
        <f t="shared" si="6"/>
        <v>7.0484581497797363</v>
      </c>
      <c r="Q19" s="6">
        <f t="shared" si="7"/>
        <v>23.255813953488371</v>
      </c>
    </row>
    <row r="20" spans="1:17">
      <c r="A20" t="s">
        <v>55</v>
      </c>
      <c r="B20" s="5">
        <v>44140</v>
      </c>
      <c r="C20" s="7">
        <v>104</v>
      </c>
      <c r="D20">
        <v>2012</v>
      </c>
      <c r="E20">
        <v>1158</v>
      </c>
      <c r="F20">
        <v>789</v>
      </c>
      <c r="G20">
        <v>48</v>
      </c>
      <c r="H20">
        <v>1901</v>
      </c>
      <c r="I20">
        <v>1044</v>
      </c>
      <c r="J20">
        <v>617</v>
      </c>
      <c r="K20">
        <v>58</v>
      </c>
      <c r="L20">
        <v>1765</v>
      </c>
      <c r="M20">
        <v>927</v>
      </c>
      <c r="N20">
        <v>539</v>
      </c>
      <c r="O20">
        <v>61</v>
      </c>
      <c r="P20" s="6">
        <f t="shared" si="6"/>
        <v>12.276341948310138</v>
      </c>
      <c r="Q20" s="6">
        <f t="shared" si="7"/>
        <v>19.948186528497409</v>
      </c>
    </row>
    <row r="21" spans="1:17">
      <c r="A21" t="s">
        <v>48</v>
      </c>
      <c r="B21" s="5">
        <v>44140</v>
      </c>
      <c r="C21" s="7">
        <v>104</v>
      </c>
      <c r="D21">
        <v>1760</v>
      </c>
      <c r="E21">
        <v>1104</v>
      </c>
      <c r="F21">
        <v>751</v>
      </c>
      <c r="G21">
        <v>45</v>
      </c>
      <c r="H21">
        <v>1711</v>
      </c>
      <c r="I21">
        <v>1022</v>
      </c>
      <c r="J21">
        <v>628</v>
      </c>
      <c r="K21">
        <v>54</v>
      </c>
      <c r="L21">
        <v>1570</v>
      </c>
      <c r="M21">
        <v>875</v>
      </c>
      <c r="N21">
        <v>499</v>
      </c>
      <c r="O21">
        <v>59</v>
      </c>
      <c r="P21" s="6">
        <f t="shared" si="6"/>
        <v>10.795454545454545</v>
      </c>
      <c r="Q21" s="6">
        <f t="shared" si="7"/>
        <v>20.742753623188406</v>
      </c>
    </row>
    <row r="22" spans="1:17">
      <c r="A22" t="s">
        <v>41</v>
      </c>
      <c r="B22" s="5">
        <v>44140</v>
      </c>
      <c r="C22" s="7">
        <v>104</v>
      </c>
      <c r="D22">
        <v>1773</v>
      </c>
      <c r="E22">
        <v>1055</v>
      </c>
      <c r="F22">
        <v>690</v>
      </c>
      <c r="G22">
        <v>50</v>
      </c>
      <c r="H22">
        <v>1738</v>
      </c>
      <c r="I22">
        <v>929</v>
      </c>
      <c r="J22">
        <v>517</v>
      </c>
      <c r="K22">
        <v>60</v>
      </c>
      <c r="L22">
        <v>1529</v>
      </c>
      <c r="M22">
        <v>797</v>
      </c>
      <c r="N22">
        <v>496</v>
      </c>
      <c r="O22">
        <v>54</v>
      </c>
      <c r="P22" s="6">
        <f t="shared" si="6"/>
        <v>13.761985335589397</v>
      </c>
      <c r="Q22" s="6">
        <f t="shared" si="7"/>
        <v>24.454976303317537</v>
      </c>
    </row>
    <row r="23" spans="1:17">
      <c r="A23" t="s">
        <v>43</v>
      </c>
      <c r="B23" s="5">
        <v>44140</v>
      </c>
      <c r="C23" s="7">
        <v>100</v>
      </c>
      <c r="D23">
        <v>1368</v>
      </c>
      <c r="E23">
        <v>871</v>
      </c>
      <c r="F23">
        <v>652</v>
      </c>
      <c r="G23">
        <v>40</v>
      </c>
      <c r="H23">
        <v>1327</v>
      </c>
      <c r="I23">
        <v>837</v>
      </c>
      <c r="J23">
        <v>611</v>
      </c>
      <c r="K23">
        <v>40</v>
      </c>
      <c r="L23">
        <v>1295</v>
      </c>
      <c r="M23">
        <v>836</v>
      </c>
      <c r="N23">
        <v>610</v>
      </c>
      <c r="O23">
        <v>39</v>
      </c>
      <c r="P23" s="6">
        <f t="shared" si="6"/>
        <v>5.3362573099415203</v>
      </c>
      <c r="Q23" s="6">
        <f t="shared" si="7"/>
        <v>4.0183696900114816</v>
      </c>
    </row>
    <row r="24" spans="1:17">
      <c r="A24" t="s">
        <v>59</v>
      </c>
      <c r="B24" s="5">
        <v>44140</v>
      </c>
      <c r="C24" s="7">
        <v>100</v>
      </c>
      <c r="D24">
        <v>1341</v>
      </c>
      <c r="E24">
        <v>875</v>
      </c>
      <c r="F24">
        <v>640</v>
      </c>
      <c r="G24">
        <v>40</v>
      </c>
      <c r="H24">
        <v>1257</v>
      </c>
      <c r="I24">
        <v>824</v>
      </c>
      <c r="J24">
        <v>590</v>
      </c>
      <c r="K24">
        <v>43</v>
      </c>
      <c r="L24">
        <v>1051</v>
      </c>
      <c r="M24">
        <v>634</v>
      </c>
      <c r="N24">
        <v>380</v>
      </c>
      <c r="O24">
        <v>55</v>
      </c>
      <c r="P24" s="6">
        <f t="shared" si="6"/>
        <v>21.625652498135718</v>
      </c>
      <c r="Q24" s="6">
        <f t="shared" si="7"/>
        <v>27.542857142857141</v>
      </c>
    </row>
    <row r="25" spans="1:17">
      <c r="A25" t="s">
        <v>49</v>
      </c>
      <c r="B25" s="5">
        <v>44204</v>
      </c>
      <c r="C25">
        <v>100</v>
      </c>
      <c r="D25">
        <v>1076</v>
      </c>
      <c r="E25">
        <v>642</v>
      </c>
      <c r="F25">
        <v>490</v>
      </c>
      <c r="G25">
        <v>42</v>
      </c>
      <c r="H25">
        <v>1103</v>
      </c>
      <c r="I25">
        <v>672</v>
      </c>
      <c r="J25">
        <v>507</v>
      </c>
      <c r="K25">
        <v>41</v>
      </c>
      <c r="L25">
        <v>1005</v>
      </c>
      <c r="M25">
        <v>560</v>
      </c>
      <c r="N25">
        <v>365</v>
      </c>
      <c r="O25">
        <v>54</v>
      </c>
      <c r="P25" s="6">
        <f>((D25-L25)/D25)*100</f>
        <v>6.5985130111524164</v>
      </c>
      <c r="Q25" s="6">
        <f>((E25-M25)/E25)*100</f>
        <v>12.772585669781931</v>
      </c>
    </row>
    <row r="26" spans="1:17">
      <c r="A26" t="s">
        <v>39</v>
      </c>
      <c r="B26" s="5">
        <v>44204</v>
      </c>
      <c r="C26" s="7">
        <v>104</v>
      </c>
      <c r="D26">
        <v>2081</v>
      </c>
      <c r="E26">
        <v>1230</v>
      </c>
      <c r="F26">
        <v>851</v>
      </c>
      <c r="G26">
        <v>46</v>
      </c>
      <c r="H26">
        <v>1954</v>
      </c>
      <c r="I26">
        <v>1095</v>
      </c>
      <c r="J26">
        <v>636</v>
      </c>
      <c r="K26">
        <v>58</v>
      </c>
      <c r="L26">
        <v>1809</v>
      </c>
      <c r="M26">
        <v>1004</v>
      </c>
      <c r="N26">
        <v>585</v>
      </c>
      <c r="O26">
        <v>59</v>
      </c>
      <c r="P26" s="6">
        <f t="shared" ref="P26:P31" si="8">((D26-L26)/D26)*100</f>
        <v>13.070639115809707</v>
      </c>
      <c r="Q26" s="6">
        <f t="shared" ref="Q26:Q31" si="9">((E26-M26)/E26)*100</f>
        <v>18.373983739837399</v>
      </c>
    </row>
    <row r="27" spans="1:17">
      <c r="A27" t="s">
        <v>40</v>
      </c>
      <c r="B27" s="5">
        <v>44204</v>
      </c>
      <c r="C27" s="7">
        <v>104</v>
      </c>
      <c r="D27">
        <v>1833</v>
      </c>
      <c r="E27">
        <v>1154</v>
      </c>
      <c r="F27">
        <v>801</v>
      </c>
      <c r="G27">
        <v>44</v>
      </c>
      <c r="H27">
        <v>1811</v>
      </c>
      <c r="I27">
        <v>1067</v>
      </c>
      <c r="J27">
        <v>622</v>
      </c>
      <c r="K27">
        <v>56</v>
      </c>
      <c r="L27">
        <v>1741</v>
      </c>
      <c r="M27">
        <v>925</v>
      </c>
      <c r="N27">
        <v>392</v>
      </c>
      <c r="O27">
        <v>72</v>
      </c>
      <c r="P27" s="6">
        <f t="shared" si="8"/>
        <v>5.0190943807965089</v>
      </c>
      <c r="Q27" s="6">
        <f t="shared" si="9"/>
        <v>19.844020797227035</v>
      </c>
    </row>
    <row r="28" spans="1:17">
      <c r="A28" t="s">
        <v>55</v>
      </c>
      <c r="B28" s="5">
        <v>44204</v>
      </c>
      <c r="C28" s="7">
        <v>104</v>
      </c>
      <c r="D28">
        <v>1918</v>
      </c>
      <c r="E28">
        <v>1084</v>
      </c>
      <c r="F28">
        <v>700</v>
      </c>
      <c r="G28">
        <v>52</v>
      </c>
      <c r="H28">
        <v>1867</v>
      </c>
      <c r="I28">
        <v>968</v>
      </c>
      <c r="J28">
        <v>597</v>
      </c>
      <c r="K28">
        <v>57</v>
      </c>
      <c r="L28">
        <v>1830</v>
      </c>
      <c r="M28">
        <v>931</v>
      </c>
      <c r="N28">
        <v>504</v>
      </c>
      <c r="O28">
        <v>64</v>
      </c>
      <c r="P28" s="6">
        <f t="shared" si="8"/>
        <v>4.5881126173096973</v>
      </c>
      <c r="Q28" s="6">
        <f t="shared" si="9"/>
        <v>14.114391143911439</v>
      </c>
    </row>
    <row r="29" spans="1:17">
      <c r="A29" t="s">
        <v>41</v>
      </c>
      <c r="B29" s="5">
        <v>44204</v>
      </c>
      <c r="C29" s="7">
        <v>104</v>
      </c>
      <c r="D29">
        <v>1789</v>
      </c>
      <c r="E29">
        <v>1073</v>
      </c>
      <c r="F29">
        <v>732</v>
      </c>
      <c r="G29">
        <v>47</v>
      </c>
      <c r="H29">
        <v>1579</v>
      </c>
      <c r="I29">
        <v>923</v>
      </c>
      <c r="J29">
        <v>539</v>
      </c>
      <c r="K29">
        <v>57</v>
      </c>
      <c r="L29">
        <v>1284</v>
      </c>
      <c r="M29">
        <v>695</v>
      </c>
      <c r="N29">
        <v>339</v>
      </c>
      <c r="O29">
        <v>65</v>
      </c>
      <c r="P29" s="6">
        <f t="shared" si="8"/>
        <v>28.228060368921188</v>
      </c>
      <c r="Q29" s="6">
        <f t="shared" si="9"/>
        <v>35.228331780055917</v>
      </c>
    </row>
    <row r="30" spans="1:17">
      <c r="A30" t="s">
        <v>47</v>
      </c>
      <c r="B30" s="5">
        <v>44204</v>
      </c>
      <c r="C30" s="7">
        <v>100</v>
      </c>
      <c r="D30">
        <v>1445</v>
      </c>
      <c r="E30">
        <v>853</v>
      </c>
      <c r="F30">
        <v>598</v>
      </c>
      <c r="G30">
        <v>45</v>
      </c>
      <c r="H30">
        <v>1432</v>
      </c>
      <c r="I30">
        <v>827</v>
      </c>
      <c r="J30">
        <v>526</v>
      </c>
      <c r="K30">
        <v>53</v>
      </c>
      <c r="L30">
        <v>1286</v>
      </c>
      <c r="M30">
        <v>673</v>
      </c>
      <c r="N30">
        <v>365</v>
      </c>
      <c r="O30">
        <v>62</v>
      </c>
      <c r="P30" s="6">
        <f>((H30-L30)/H30)*100</f>
        <v>10.195530726256983</v>
      </c>
      <c r="Q30" s="6">
        <f>((I30-M30)/I30)*100</f>
        <v>18.621523579201934</v>
      </c>
    </row>
    <row r="31" spans="1:17">
      <c r="A31" t="s">
        <v>59</v>
      </c>
      <c r="B31" s="5">
        <v>44204</v>
      </c>
      <c r="C31" s="7">
        <v>100</v>
      </c>
      <c r="D31">
        <v>1355</v>
      </c>
      <c r="E31">
        <v>855</v>
      </c>
      <c r="F31">
        <v>581</v>
      </c>
      <c r="G31">
        <v>46</v>
      </c>
      <c r="H31">
        <v>1199</v>
      </c>
      <c r="I31">
        <v>771</v>
      </c>
      <c r="J31">
        <v>517</v>
      </c>
      <c r="K31">
        <v>47</v>
      </c>
      <c r="L31">
        <v>1185</v>
      </c>
      <c r="M31">
        <v>691</v>
      </c>
      <c r="N31">
        <v>453</v>
      </c>
      <c r="O31">
        <v>50</v>
      </c>
      <c r="P31" s="6">
        <f t="shared" si="8"/>
        <v>12.546125461254611</v>
      </c>
      <c r="Q31" s="6">
        <f t="shared" si="9"/>
        <v>19.1812865497076</v>
      </c>
    </row>
    <row r="32" spans="1:17">
      <c r="A32" t="s">
        <v>48</v>
      </c>
      <c r="B32" s="5">
        <v>44204</v>
      </c>
      <c r="C32">
        <v>104</v>
      </c>
      <c r="D32">
        <v>1806</v>
      </c>
      <c r="E32">
        <v>1133</v>
      </c>
      <c r="F32">
        <v>807</v>
      </c>
      <c r="G32">
        <v>43</v>
      </c>
      <c r="H32">
        <v>1769</v>
      </c>
      <c r="I32">
        <v>1103</v>
      </c>
      <c r="J32">
        <v>747</v>
      </c>
      <c r="K32">
        <v>47</v>
      </c>
      <c r="L32">
        <v>1551</v>
      </c>
      <c r="M32">
        <v>892</v>
      </c>
      <c r="N32">
        <v>546</v>
      </c>
      <c r="O32">
        <v>56</v>
      </c>
      <c r="P32" s="6">
        <f>((D32-L32)/D32)*100</f>
        <v>14.119601328903656</v>
      </c>
      <c r="Q32" s="6">
        <f>((E32-M32)/E32)*100</f>
        <v>21.270962047661076</v>
      </c>
    </row>
    <row r="33" spans="1:17">
      <c r="A33" t="s">
        <v>39</v>
      </c>
      <c r="B33" s="5">
        <v>44235</v>
      </c>
      <c r="C33" s="7">
        <v>104</v>
      </c>
      <c r="D33">
        <v>2093</v>
      </c>
      <c r="E33">
        <v>1273</v>
      </c>
      <c r="F33">
        <v>882</v>
      </c>
      <c r="G33">
        <v>46</v>
      </c>
      <c r="H33">
        <v>1936</v>
      </c>
      <c r="I33">
        <v>1172</v>
      </c>
      <c r="J33">
        <v>735</v>
      </c>
      <c r="K33">
        <v>52</v>
      </c>
      <c r="L33">
        <v>1827</v>
      </c>
      <c r="M33">
        <v>1054</v>
      </c>
      <c r="N33">
        <v>630</v>
      </c>
      <c r="O33">
        <v>57</v>
      </c>
      <c r="P33" s="6">
        <f t="shared" ref="P33:P40" si="10">((D33-L33)/D33)*100</f>
        <v>12.709030100334449</v>
      </c>
      <c r="Q33" s="6">
        <f t="shared" ref="Q33:Q40" si="11">((E33-M33)/E33)*100</f>
        <v>17.203456402199528</v>
      </c>
    </row>
    <row r="34" spans="1:17">
      <c r="A34" t="s">
        <v>40</v>
      </c>
      <c r="B34" s="5">
        <v>44235</v>
      </c>
      <c r="C34" s="7">
        <v>104</v>
      </c>
      <c r="D34">
        <v>1874</v>
      </c>
      <c r="E34">
        <v>1206</v>
      </c>
      <c r="F34">
        <v>850</v>
      </c>
      <c r="G34">
        <v>43</v>
      </c>
      <c r="H34">
        <v>1723</v>
      </c>
      <c r="I34">
        <v>1056</v>
      </c>
      <c r="J34">
        <v>619</v>
      </c>
      <c r="K34">
        <v>57</v>
      </c>
      <c r="L34">
        <v>1625</v>
      </c>
      <c r="M34">
        <v>873</v>
      </c>
      <c r="N34">
        <v>463</v>
      </c>
      <c r="O34">
        <v>64</v>
      </c>
      <c r="P34" s="6">
        <f t="shared" si="10"/>
        <v>13.28708644610459</v>
      </c>
      <c r="Q34" s="6">
        <f t="shared" si="11"/>
        <v>27.611940298507463</v>
      </c>
    </row>
    <row r="35" spans="1:17">
      <c r="A35" t="s">
        <v>55</v>
      </c>
      <c r="B35" s="5">
        <v>44235</v>
      </c>
      <c r="C35" s="7">
        <v>104</v>
      </c>
      <c r="D35">
        <v>1834</v>
      </c>
      <c r="E35">
        <v>1047</v>
      </c>
      <c r="F35">
        <v>660</v>
      </c>
      <c r="G35">
        <v>54</v>
      </c>
      <c r="H35">
        <v>1812</v>
      </c>
      <c r="I35">
        <v>948</v>
      </c>
      <c r="J35">
        <v>519</v>
      </c>
      <c r="K35">
        <v>63</v>
      </c>
      <c r="L35">
        <v>1712</v>
      </c>
      <c r="M35">
        <v>818</v>
      </c>
      <c r="N35">
        <v>409</v>
      </c>
      <c r="O35">
        <v>69</v>
      </c>
      <c r="P35" s="6">
        <f t="shared" si="10"/>
        <v>6.6521264994547442</v>
      </c>
      <c r="Q35" s="6">
        <f t="shared" si="11"/>
        <v>21.872015281757403</v>
      </c>
    </row>
    <row r="36" spans="1:17">
      <c r="A36" t="s">
        <v>48</v>
      </c>
      <c r="B36" s="5">
        <v>44235</v>
      </c>
      <c r="C36" s="7">
        <v>104</v>
      </c>
      <c r="D36">
        <v>1697</v>
      </c>
      <c r="E36">
        <v>1065</v>
      </c>
      <c r="F36">
        <v>726</v>
      </c>
      <c r="G36">
        <v>45</v>
      </c>
      <c r="H36">
        <v>1622</v>
      </c>
      <c r="I36">
        <v>1000</v>
      </c>
      <c r="J36">
        <v>649</v>
      </c>
      <c r="K36">
        <v>50</v>
      </c>
      <c r="L36">
        <v>1543</v>
      </c>
      <c r="M36">
        <v>845</v>
      </c>
      <c r="N36">
        <v>511</v>
      </c>
      <c r="O36">
        <v>58</v>
      </c>
      <c r="P36" s="6">
        <f t="shared" si="10"/>
        <v>9.0748379493223332</v>
      </c>
      <c r="Q36" s="6">
        <f t="shared" si="11"/>
        <v>20.657276995305164</v>
      </c>
    </row>
    <row r="37" spans="1:17">
      <c r="A37" t="s">
        <v>41</v>
      </c>
      <c r="B37" s="5">
        <v>44235</v>
      </c>
      <c r="C37" s="7">
        <v>104</v>
      </c>
      <c r="D37">
        <v>1792</v>
      </c>
      <c r="E37">
        <v>1044</v>
      </c>
      <c r="F37">
        <v>677</v>
      </c>
      <c r="G37">
        <v>50</v>
      </c>
      <c r="H37">
        <v>1726</v>
      </c>
      <c r="I37">
        <v>953</v>
      </c>
      <c r="J37">
        <v>570</v>
      </c>
      <c r="K37">
        <v>55</v>
      </c>
      <c r="L37">
        <v>1315</v>
      </c>
      <c r="M37">
        <v>761</v>
      </c>
      <c r="N37">
        <v>385</v>
      </c>
      <c r="O37">
        <v>63</v>
      </c>
      <c r="P37" s="6">
        <f t="shared" si="10"/>
        <v>26.618303571428569</v>
      </c>
      <c r="Q37" s="6">
        <f t="shared" si="11"/>
        <v>27.107279693486593</v>
      </c>
    </row>
    <row r="38" spans="1:17">
      <c r="A38" t="s">
        <v>43</v>
      </c>
      <c r="B38" s="5">
        <v>44235</v>
      </c>
      <c r="C38" s="7">
        <v>100</v>
      </c>
      <c r="D38">
        <v>1360</v>
      </c>
      <c r="E38">
        <v>850</v>
      </c>
      <c r="F38">
        <v>641</v>
      </c>
      <c r="G38">
        <v>38</v>
      </c>
      <c r="H38">
        <v>1285</v>
      </c>
      <c r="I38">
        <v>823</v>
      </c>
      <c r="J38">
        <v>637</v>
      </c>
      <c r="K38">
        <v>36</v>
      </c>
      <c r="L38">
        <v>1273</v>
      </c>
      <c r="M38">
        <v>800</v>
      </c>
      <c r="N38">
        <v>594</v>
      </c>
      <c r="O38">
        <v>40</v>
      </c>
      <c r="P38" s="6">
        <f t="shared" si="10"/>
        <v>6.3970588235294112</v>
      </c>
      <c r="Q38" s="6">
        <f t="shared" si="11"/>
        <v>5.8823529411764701</v>
      </c>
    </row>
    <row r="39" spans="1:17">
      <c r="A39" t="s">
        <v>59</v>
      </c>
      <c r="B39" s="5">
        <v>44235</v>
      </c>
      <c r="C39" s="7">
        <v>100</v>
      </c>
      <c r="D39">
        <v>1342</v>
      </c>
      <c r="E39">
        <v>874</v>
      </c>
      <c r="F39">
        <v>609</v>
      </c>
      <c r="G39">
        <v>43</v>
      </c>
      <c r="H39">
        <v>1282</v>
      </c>
      <c r="I39">
        <v>838</v>
      </c>
      <c r="J39">
        <v>614</v>
      </c>
      <c r="K39">
        <v>40</v>
      </c>
      <c r="L39">
        <v>1058</v>
      </c>
      <c r="M39">
        <v>615</v>
      </c>
      <c r="N39">
        <v>385</v>
      </c>
      <c r="O39">
        <v>54</v>
      </c>
      <c r="P39" s="6">
        <f t="shared" si="10"/>
        <v>21.162444113263785</v>
      </c>
      <c r="Q39" s="6">
        <f t="shared" si="11"/>
        <v>29.633867276887869</v>
      </c>
    </row>
    <row r="40" spans="1:17">
      <c r="A40" t="s">
        <v>44</v>
      </c>
      <c r="B40" s="5">
        <v>44235</v>
      </c>
      <c r="C40" s="7">
        <v>100</v>
      </c>
      <c r="D40">
        <v>1257</v>
      </c>
      <c r="E40">
        <v>763</v>
      </c>
      <c r="F40">
        <v>539</v>
      </c>
      <c r="G40">
        <v>44</v>
      </c>
      <c r="H40">
        <v>1146</v>
      </c>
      <c r="I40">
        <v>598</v>
      </c>
      <c r="J40">
        <v>337</v>
      </c>
      <c r="K40">
        <v>61</v>
      </c>
      <c r="L40">
        <v>1074</v>
      </c>
      <c r="M40">
        <v>467</v>
      </c>
      <c r="N40">
        <v>181</v>
      </c>
      <c r="O40">
        <v>78</v>
      </c>
      <c r="P40" s="6">
        <f t="shared" si="10"/>
        <v>14.558472553699284</v>
      </c>
      <c r="Q40" s="6">
        <f t="shared" si="11"/>
        <v>38.794233289646137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6C01-0FAB-4F97-B4DD-639AE53F20A3}">
  <dimension ref="A1:H99"/>
  <sheetViews>
    <sheetView workbookViewId="0">
      <selection activeCell="A97" sqref="A97"/>
    </sheetView>
  </sheetViews>
  <sheetFormatPr defaultRowHeight="14.45"/>
  <cols>
    <col min="1" max="1" width="16.28515625" customWidth="1"/>
    <col min="2" max="2" width="12.140625" customWidth="1"/>
    <col min="3" max="3" width="10" bestFit="1" customWidth="1"/>
    <col min="4" max="4" width="14" bestFit="1" customWidth="1"/>
    <col min="5" max="5" width="12" customWidth="1"/>
    <col min="6" max="6" width="14.85546875" customWidth="1"/>
    <col min="7" max="7" width="16" bestFit="1" customWidth="1"/>
    <col min="8" max="8" width="14.7109375" bestFit="1" customWidth="1"/>
  </cols>
  <sheetData>
    <row r="1" spans="1:8">
      <c r="A1" s="17" t="s">
        <v>0</v>
      </c>
      <c r="B1" s="1" t="s">
        <v>1</v>
      </c>
      <c r="C1" s="1" t="s">
        <v>172</v>
      </c>
      <c r="D1" s="2" t="s">
        <v>173</v>
      </c>
      <c r="E1" s="2" t="s">
        <v>174</v>
      </c>
      <c r="F1" s="2" t="s">
        <v>175</v>
      </c>
      <c r="G1" s="2" t="s">
        <v>176</v>
      </c>
      <c r="H1" s="2" t="s">
        <v>177</v>
      </c>
    </row>
    <row r="2" spans="1:8">
      <c r="A2" t="s">
        <v>43</v>
      </c>
      <c r="B2" s="5">
        <v>44069</v>
      </c>
      <c r="C2">
        <v>136</v>
      </c>
      <c r="D2" s="8">
        <v>1.7</v>
      </c>
      <c r="E2" s="7">
        <v>1948</v>
      </c>
      <c r="F2" s="8">
        <v>24.7</v>
      </c>
    </row>
    <row r="3" spans="1:8">
      <c r="A3" t="s">
        <v>44</v>
      </c>
      <c r="B3" s="5">
        <v>44069</v>
      </c>
      <c r="C3">
        <v>160</v>
      </c>
      <c r="D3" s="8">
        <v>2.4</v>
      </c>
      <c r="E3" s="7"/>
      <c r="F3" s="8"/>
    </row>
    <row r="4" spans="1:8">
      <c r="A4" t="s">
        <v>39</v>
      </c>
      <c r="B4" s="5">
        <v>44069</v>
      </c>
      <c r="C4">
        <v>291</v>
      </c>
      <c r="D4" s="8">
        <v>3.3</v>
      </c>
      <c r="E4" s="7">
        <v>3635</v>
      </c>
      <c r="F4" s="8">
        <v>41.7</v>
      </c>
    </row>
    <row r="5" spans="1:8">
      <c r="A5" t="s">
        <v>48</v>
      </c>
      <c r="B5" s="5">
        <v>44071</v>
      </c>
      <c r="C5">
        <v>301</v>
      </c>
      <c r="D5" s="8">
        <v>3.3</v>
      </c>
      <c r="E5" s="7">
        <v>2943</v>
      </c>
      <c r="F5" s="8">
        <v>32</v>
      </c>
    </row>
    <row r="6" spans="1:8">
      <c r="A6" t="s">
        <v>47</v>
      </c>
      <c r="B6" s="5">
        <v>44071</v>
      </c>
      <c r="C6">
        <v>211</v>
      </c>
      <c r="D6" s="8">
        <v>2.8</v>
      </c>
      <c r="E6" s="7">
        <v>2435</v>
      </c>
      <c r="F6" s="8">
        <v>32.299999999999997</v>
      </c>
    </row>
    <row r="7" spans="1:8">
      <c r="A7" t="s">
        <v>55</v>
      </c>
      <c r="B7" s="5">
        <v>44071</v>
      </c>
      <c r="C7">
        <v>312</v>
      </c>
      <c r="D7" s="8">
        <v>3.2</v>
      </c>
      <c r="E7" s="7">
        <v>3968</v>
      </c>
      <c r="F7" s="8">
        <v>40.700000000000003</v>
      </c>
    </row>
    <row r="8" spans="1:8">
      <c r="A8" t="s">
        <v>40</v>
      </c>
      <c r="B8" s="5">
        <v>44071</v>
      </c>
      <c r="C8">
        <v>307</v>
      </c>
      <c r="D8" s="8">
        <v>3.7</v>
      </c>
      <c r="E8" s="7">
        <v>3343</v>
      </c>
      <c r="F8" s="8">
        <v>40.700000000000003</v>
      </c>
    </row>
    <row r="9" spans="1:8">
      <c r="A9" t="s">
        <v>59</v>
      </c>
      <c r="B9" s="5">
        <v>44071</v>
      </c>
      <c r="C9">
        <v>243</v>
      </c>
      <c r="D9" s="8">
        <v>3</v>
      </c>
      <c r="E9" s="7">
        <v>2453</v>
      </c>
      <c r="F9" s="8">
        <v>29.8</v>
      </c>
    </row>
    <row r="10" spans="1:8">
      <c r="A10" t="s">
        <v>49</v>
      </c>
      <c r="B10" s="5">
        <v>44071</v>
      </c>
      <c r="C10">
        <v>143</v>
      </c>
      <c r="D10" s="8">
        <v>2.1</v>
      </c>
      <c r="E10" s="7"/>
      <c r="F10" s="8"/>
    </row>
    <row r="11" spans="1:8">
      <c r="A11" t="s">
        <v>44</v>
      </c>
      <c r="B11" s="5">
        <v>44088</v>
      </c>
      <c r="D11" s="8"/>
      <c r="E11" s="7">
        <v>1541</v>
      </c>
      <c r="F11" s="8">
        <v>22.7</v>
      </c>
    </row>
    <row r="12" spans="1:8">
      <c r="A12" t="s">
        <v>41</v>
      </c>
      <c r="B12" s="5">
        <v>44127</v>
      </c>
      <c r="C12">
        <v>406</v>
      </c>
      <c r="D12" s="8">
        <v>4.5</v>
      </c>
      <c r="E12" s="7"/>
      <c r="F12" s="8"/>
    </row>
    <row r="13" spans="1:8">
      <c r="A13" t="s">
        <v>44</v>
      </c>
      <c r="B13" s="5">
        <v>44152</v>
      </c>
      <c r="D13" s="8"/>
      <c r="E13" s="7">
        <v>1626</v>
      </c>
      <c r="F13" s="8">
        <v>23.7</v>
      </c>
    </row>
    <row r="14" spans="1:8">
      <c r="A14" t="s">
        <v>48</v>
      </c>
      <c r="B14" s="5">
        <v>44158</v>
      </c>
      <c r="C14">
        <v>303</v>
      </c>
      <c r="D14" s="8">
        <v>3.2</v>
      </c>
      <c r="E14" s="7">
        <v>3386</v>
      </c>
      <c r="F14">
        <v>35.6</v>
      </c>
    </row>
    <row r="15" spans="1:8">
      <c r="A15" t="s">
        <v>43</v>
      </c>
      <c r="B15" s="5">
        <v>44158</v>
      </c>
      <c r="C15">
        <v>209</v>
      </c>
      <c r="D15" s="8">
        <v>2.61</v>
      </c>
      <c r="E15" s="7">
        <v>2000</v>
      </c>
      <c r="F15" s="8">
        <v>25</v>
      </c>
    </row>
    <row r="16" spans="1:8">
      <c r="A16" t="s">
        <v>44</v>
      </c>
      <c r="B16" s="5">
        <v>44158</v>
      </c>
      <c r="C16">
        <v>184</v>
      </c>
      <c r="D16" s="8">
        <v>2.7</v>
      </c>
      <c r="E16" s="7">
        <v>1586</v>
      </c>
      <c r="F16" s="8">
        <v>23</v>
      </c>
    </row>
    <row r="17" spans="1:6">
      <c r="A17" t="s">
        <v>39</v>
      </c>
      <c r="B17" s="5">
        <v>44158</v>
      </c>
      <c r="C17">
        <v>378</v>
      </c>
      <c r="D17" s="8">
        <v>4.4000000000000004</v>
      </c>
      <c r="E17" s="7">
        <v>3501</v>
      </c>
      <c r="F17" s="8">
        <v>40.700000000000003</v>
      </c>
    </row>
    <row r="18" spans="1:6">
      <c r="A18" t="s">
        <v>41</v>
      </c>
      <c r="B18" s="5">
        <v>44158</v>
      </c>
      <c r="C18">
        <v>346</v>
      </c>
      <c r="D18" s="8">
        <v>3.8</v>
      </c>
      <c r="E18" s="7"/>
      <c r="F18" s="8"/>
    </row>
    <row r="19" spans="1:6">
      <c r="A19" t="s">
        <v>55</v>
      </c>
      <c r="B19" s="5">
        <v>44158</v>
      </c>
      <c r="C19">
        <v>312</v>
      </c>
      <c r="D19" s="8">
        <v>3.3</v>
      </c>
      <c r="E19" s="7">
        <v>3280</v>
      </c>
      <c r="F19" s="8">
        <v>34.9</v>
      </c>
    </row>
    <row r="20" spans="1:6">
      <c r="A20" t="s">
        <v>40</v>
      </c>
      <c r="B20" s="5">
        <v>44158</v>
      </c>
      <c r="C20">
        <v>360</v>
      </c>
      <c r="D20" s="8">
        <v>4.3</v>
      </c>
      <c r="E20" s="7">
        <v>2790</v>
      </c>
      <c r="F20" s="8">
        <v>33.700000000000003</v>
      </c>
    </row>
    <row r="21" spans="1:6">
      <c r="A21" t="s">
        <v>59</v>
      </c>
      <c r="B21" s="5">
        <v>44158</v>
      </c>
      <c r="C21">
        <v>259</v>
      </c>
      <c r="D21" s="8">
        <v>3.1</v>
      </c>
      <c r="E21" s="7">
        <v>2533</v>
      </c>
      <c r="F21" s="8">
        <v>30.5</v>
      </c>
    </row>
    <row r="22" spans="1:6">
      <c r="A22" t="s">
        <v>49</v>
      </c>
      <c r="B22" s="5">
        <v>44158</v>
      </c>
      <c r="C22">
        <v>168</v>
      </c>
      <c r="D22" s="8">
        <v>2.6</v>
      </c>
      <c r="E22" s="7"/>
      <c r="F22" s="8"/>
    </row>
    <row r="23" spans="1:6">
      <c r="A23" t="s">
        <v>48</v>
      </c>
      <c r="B23" s="5">
        <v>44200</v>
      </c>
      <c r="D23" s="8"/>
      <c r="E23" s="7">
        <v>3544</v>
      </c>
      <c r="F23" s="8">
        <v>37.5</v>
      </c>
    </row>
    <row r="24" spans="1:6">
      <c r="A24" t="s">
        <v>41</v>
      </c>
      <c r="B24" s="5">
        <v>44200</v>
      </c>
      <c r="C24">
        <v>400</v>
      </c>
      <c r="D24" s="8">
        <v>4.4000000000000004</v>
      </c>
      <c r="E24" s="7"/>
      <c r="F24" s="8"/>
    </row>
    <row r="25" spans="1:6">
      <c r="A25" t="s">
        <v>47</v>
      </c>
      <c r="B25" s="5">
        <v>44200</v>
      </c>
      <c r="D25" s="8"/>
      <c r="E25" s="7">
        <v>2228</v>
      </c>
      <c r="F25" s="8">
        <v>29.6</v>
      </c>
    </row>
    <row r="26" spans="1:6">
      <c r="A26" t="s">
        <v>59</v>
      </c>
      <c r="B26" s="5">
        <v>44200</v>
      </c>
      <c r="C26">
        <v>236</v>
      </c>
      <c r="D26" s="8">
        <v>2.9</v>
      </c>
      <c r="E26" s="7">
        <v>2709</v>
      </c>
      <c r="F26" s="8">
        <v>33</v>
      </c>
    </row>
    <row r="27" spans="1:6">
      <c r="A27" t="s">
        <v>44</v>
      </c>
      <c r="B27" s="5">
        <v>44201</v>
      </c>
      <c r="C27">
        <v>163</v>
      </c>
      <c r="D27" s="8">
        <v>2.4</v>
      </c>
      <c r="E27" s="7">
        <v>1735</v>
      </c>
      <c r="F27" s="8">
        <v>25.2</v>
      </c>
    </row>
    <row r="28" spans="1:6">
      <c r="A28" t="s">
        <v>39</v>
      </c>
      <c r="B28" s="5">
        <v>44201</v>
      </c>
      <c r="C28">
        <v>336</v>
      </c>
      <c r="D28" s="8">
        <v>3.9</v>
      </c>
      <c r="E28" s="7">
        <v>3862</v>
      </c>
      <c r="F28" s="8">
        <v>44.8</v>
      </c>
    </row>
    <row r="29" spans="1:6">
      <c r="A29" t="s">
        <v>55</v>
      </c>
      <c r="B29" s="5">
        <v>44201</v>
      </c>
      <c r="C29">
        <v>261</v>
      </c>
      <c r="D29" s="8">
        <v>2.8</v>
      </c>
      <c r="E29" s="7">
        <v>3726</v>
      </c>
      <c r="F29" s="8">
        <v>39.299999999999997</v>
      </c>
    </row>
    <row r="30" spans="1:6">
      <c r="A30" t="s">
        <v>48</v>
      </c>
      <c r="B30" s="5">
        <v>44204</v>
      </c>
      <c r="C30">
        <v>400</v>
      </c>
      <c r="D30" s="8">
        <v>4.2</v>
      </c>
      <c r="E30" s="7"/>
      <c r="F30" s="8"/>
    </row>
    <row r="31" spans="1:6">
      <c r="A31" t="s">
        <v>51</v>
      </c>
      <c r="B31" s="5">
        <v>44204</v>
      </c>
      <c r="C31">
        <v>183</v>
      </c>
      <c r="D31" s="8">
        <v>2.5</v>
      </c>
      <c r="E31" s="7"/>
      <c r="F31" s="8"/>
    </row>
    <row r="32" spans="1:6">
      <c r="A32" t="s">
        <v>47</v>
      </c>
      <c r="B32" s="5">
        <v>44207</v>
      </c>
      <c r="C32">
        <v>183</v>
      </c>
      <c r="D32" s="8">
        <v>2.4</v>
      </c>
      <c r="E32" s="7">
        <v>2237</v>
      </c>
      <c r="F32" s="8">
        <v>29.4</v>
      </c>
    </row>
    <row r="33" spans="1:8">
      <c r="A33" t="s">
        <v>40</v>
      </c>
      <c r="B33" s="5">
        <v>44207</v>
      </c>
      <c r="C33">
        <v>371</v>
      </c>
      <c r="D33" s="8">
        <v>4.5</v>
      </c>
      <c r="E33" s="7">
        <v>3317</v>
      </c>
      <c r="F33" s="8">
        <v>40</v>
      </c>
    </row>
    <row r="34" spans="1:8">
      <c r="A34" t="s">
        <v>49</v>
      </c>
      <c r="B34" s="5">
        <v>44207</v>
      </c>
      <c r="C34">
        <v>143</v>
      </c>
      <c r="D34" s="8">
        <v>2.2000000000000002</v>
      </c>
      <c r="E34" s="7"/>
      <c r="F34" s="8"/>
    </row>
    <row r="35" spans="1:8">
      <c r="A35" t="s">
        <v>48</v>
      </c>
      <c r="B35" s="5">
        <v>44270</v>
      </c>
      <c r="C35">
        <v>413</v>
      </c>
      <c r="D35" s="8">
        <v>4.3</v>
      </c>
      <c r="E35" s="7">
        <v>2716</v>
      </c>
      <c r="F35" s="8">
        <v>28.6</v>
      </c>
    </row>
    <row r="36" spans="1:8">
      <c r="A36" t="s">
        <v>43</v>
      </c>
      <c r="B36" s="5">
        <v>44270</v>
      </c>
      <c r="D36" s="8"/>
      <c r="E36" s="7">
        <v>1458</v>
      </c>
      <c r="F36" s="8">
        <v>18</v>
      </c>
    </row>
    <row r="37" spans="1:8">
      <c r="A37" t="s">
        <v>39</v>
      </c>
      <c r="B37" s="5">
        <v>44270</v>
      </c>
      <c r="C37">
        <v>324</v>
      </c>
      <c r="D37" s="8">
        <v>3.8</v>
      </c>
      <c r="E37" s="7">
        <v>2623</v>
      </c>
      <c r="F37" s="8">
        <v>30.5</v>
      </c>
    </row>
    <row r="38" spans="1:8">
      <c r="A38" t="s">
        <v>55</v>
      </c>
      <c r="B38" s="5">
        <v>44270</v>
      </c>
      <c r="C38">
        <v>247</v>
      </c>
      <c r="D38" s="8">
        <v>2.6</v>
      </c>
      <c r="E38" s="7">
        <v>2541</v>
      </c>
      <c r="F38" s="8">
        <v>26.7</v>
      </c>
    </row>
    <row r="39" spans="1:8">
      <c r="A39" t="s">
        <v>40</v>
      </c>
      <c r="B39" s="5">
        <v>44270</v>
      </c>
      <c r="C39">
        <v>368</v>
      </c>
      <c r="D39" s="8">
        <v>4.4000000000000004</v>
      </c>
      <c r="E39" s="7">
        <v>2287</v>
      </c>
      <c r="F39" s="8">
        <v>27.7</v>
      </c>
    </row>
    <row r="40" spans="1:8">
      <c r="A40" t="s">
        <v>43</v>
      </c>
      <c r="B40" s="5">
        <v>44277</v>
      </c>
      <c r="C40">
        <v>175</v>
      </c>
      <c r="D40" s="8">
        <v>2.16</v>
      </c>
      <c r="E40" s="7">
        <v>1941</v>
      </c>
      <c r="F40" s="8">
        <v>23.96</v>
      </c>
      <c r="G40">
        <v>140</v>
      </c>
      <c r="H40">
        <v>130</v>
      </c>
    </row>
    <row r="41" spans="1:8">
      <c r="A41" t="s">
        <v>39</v>
      </c>
      <c r="B41" s="5">
        <v>44277</v>
      </c>
      <c r="C41">
        <v>324</v>
      </c>
      <c r="D41" s="8">
        <v>3.8</v>
      </c>
      <c r="E41" s="7">
        <v>3882</v>
      </c>
      <c r="F41" s="8">
        <v>45.2</v>
      </c>
      <c r="G41">
        <v>320</v>
      </c>
      <c r="H41">
        <v>320</v>
      </c>
    </row>
    <row r="42" spans="1:8">
      <c r="A42" t="s">
        <v>55</v>
      </c>
      <c r="B42" s="5">
        <v>44277</v>
      </c>
      <c r="C42">
        <v>338</v>
      </c>
      <c r="D42" s="8">
        <v>3.6</v>
      </c>
      <c r="E42" s="7">
        <v>3847</v>
      </c>
      <c r="F42" s="8">
        <v>40.4</v>
      </c>
      <c r="G42">
        <v>200</v>
      </c>
      <c r="H42">
        <v>180</v>
      </c>
    </row>
    <row r="43" spans="1:8">
      <c r="A43" t="s">
        <v>40</v>
      </c>
      <c r="B43" s="5">
        <v>44277</v>
      </c>
      <c r="C43">
        <v>390</v>
      </c>
      <c r="D43" s="8">
        <v>4.7</v>
      </c>
      <c r="E43" s="7">
        <v>3036</v>
      </c>
      <c r="F43" s="8">
        <v>36.799999999999997</v>
      </c>
      <c r="G43">
        <v>220</v>
      </c>
      <c r="H43">
        <v>240</v>
      </c>
    </row>
    <row r="44" spans="1:8">
      <c r="A44" t="s">
        <v>43</v>
      </c>
      <c r="B44" s="5">
        <v>44277</v>
      </c>
      <c r="C44">
        <v>159</v>
      </c>
      <c r="D44" s="8">
        <v>2</v>
      </c>
      <c r="E44" s="7">
        <v>1934</v>
      </c>
      <c r="F44" s="8">
        <v>24</v>
      </c>
      <c r="G44">
        <v>140</v>
      </c>
      <c r="H44">
        <v>130</v>
      </c>
    </row>
    <row r="45" spans="1:8">
      <c r="A45" t="s">
        <v>45</v>
      </c>
      <c r="B45" s="5">
        <v>44284</v>
      </c>
      <c r="C45">
        <v>270</v>
      </c>
      <c r="D45" s="8">
        <v>3.3</v>
      </c>
      <c r="E45" s="7"/>
      <c r="F45" s="8"/>
      <c r="G45">
        <v>220</v>
      </c>
      <c r="H45">
        <v>220</v>
      </c>
    </row>
    <row r="46" spans="1:8">
      <c r="A46" t="s">
        <v>44</v>
      </c>
      <c r="B46" s="5">
        <v>44284</v>
      </c>
      <c r="C46">
        <v>175</v>
      </c>
      <c r="D46" s="8">
        <v>2.5</v>
      </c>
      <c r="E46" s="7"/>
      <c r="F46" s="8"/>
    </row>
    <row r="47" spans="1:8">
      <c r="A47" t="s">
        <v>51</v>
      </c>
      <c r="B47" s="5">
        <v>44284</v>
      </c>
      <c r="C47">
        <v>166</v>
      </c>
      <c r="D47" s="8">
        <v>2.2999999999999998</v>
      </c>
      <c r="E47" s="7">
        <v>2352</v>
      </c>
      <c r="F47" s="8">
        <v>32.700000000000003</v>
      </c>
      <c r="G47">
        <v>110</v>
      </c>
      <c r="H47">
        <v>110</v>
      </c>
    </row>
    <row r="48" spans="1:8">
      <c r="A48" t="s">
        <v>47</v>
      </c>
      <c r="B48" s="5">
        <v>44284</v>
      </c>
      <c r="C48">
        <v>216</v>
      </c>
      <c r="D48" s="8">
        <v>2.8</v>
      </c>
      <c r="E48" s="7"/>
      <c r="F48" s="8"/>
    </row>
    <row r="49" spans="1:8">
      <c r="A49" t="s">
        <v>52</v>
      </c>
      <c r="B49" s="5">
        <v>44284</v>
      </c>
      <c r="C49">
        <v>285</v>
      </c>
      <c r="D49" s="8">
        <v>3.1</v>
      </c>
      <c r="E49" s="7">
        <v>3254</v>
      </c>
      <c r="F49" s="8">
        <v>35.799999999999997</v>
      </c>
      <c r="G49">
        <v>148</v>
      </c>
      <c r="H49">
        <v>148</v>
      </c>
    </row>
    <row r="50" spans="1:8">
      <c r="A50" t="s">
        <v>59</v>
      </c>
      <c r="B50" s="5">
        <v>44284</v>
      </c>
      <c r="C50">
        <v>237</v>
      </c>
      <c r="D50" s="8">
        <v>2.9</v>
      </c>
      <c r="E50" s="7"/>
      <c r="F50" s="8"/>
      <c r="G50">
        <v>106</v>
      </c>
      <c r="H50">
        <v>106</v>
      </c>
    </row>
    <row r="51" spans="1:8">
      <c r="A51" t="s">
        <v>44</v>
      </c>
      <c r="B51" s="5">
        <v>44288</v>
      </c>
      <c r="D51" s="8"/>
      <c r="E51" s="7">
        <v>1697</v>
      </c>
      <c r="F51" s="8">
        <v>24.2</v>
      </c>
    </row>
    <row r="52" spans="1:8">
      <c r="A52" t="s">
        <v>59</v>
      </c>
      <c r="B52" s="5">
        <v>44288</v>
      </c>
      <c r="D52" s="8"/>
      <c r="E52" s="7">
        <v>2878</v>
      </c>
      <c r="F52" s="8">
        <v>34.799999999999997</v>
      </c>
    </row>
    <row r="53" spans="1:8">
      <c r="A53" t="s">
        <v>45</v>
      </c>
      <c r="B53" s="5">
        <v>44291</v>
      </c>
      <c r="D53" s="8"/>
      <c r="E53" s="7">
        <v>3229</v>
      </c>
      <c r="F53" s="8">
        <v>39.9</v>
      </c>
      <c r="G53">
        <v>260</v>
      </c>
      <c r="H53">
        <v>250</v>
      </c>
    </row>
    <row r="54" spans="1:8">
      <c r="A54" t="s">
        <v>44</v>
      </c>
      <c r="B54" s="5">
        <v>44291</v>
      </c>
      <c r="D54" s="8"/>
      <c r="E54" s="7">
        <v>1901</v>
      </c>
      <c r="F54" s="8">
        <v>27.2</v>
      </c>
      <c r="G54">
        <v>175</v>
      </c>
      <c r="H54">
        <v>175</v>
      </c>
    </row>
    <row r="55" spans="1:8">
      <c r="A55" t="s">
        <v>59</v>
      </c>
      <c r="B55" s="5">
        <v>44291</v>
      </c>
      <c r="D55" s="8"/>
      <c r="E55" s="7">
        <v>2685</v>
      </c>
      <c r="F55" s="8">
        <v>32.200000000000003</v>
      </c>
      <c r="G55">
        <v>120</v>
      </c>
      <c r="H55">
        <v>120</v>
      </c>
    </row>
    <row r="56" spans="1:8">
      <c r="A56" t="s">
        <v>51</v>
      </c>
      <c r="B56" s="5">
        <v>44292</v>
      </c>
      <c r="C56">
        <v>187</v>
      </c>
      <c r="D56" s="8">
        <v>2.6</v>
      </c>
      <c r="E56" s="7">
        <v>2028</v>
      </c>
      <c r="F56" s="8">
        <v>28.2</v>
      </c>
      <c r="G56">
        <v>115</v>
      </c>
      <c r="H56">
        <v>115</v>
      </c>
    </row>
    <row r="57" spans="1:8">
      <c r="A57" t="s">
        <v>52</v>
      </c>
      <c r="B57" s="5">
        <v>44292</v>
      </c>
      <c r="D57" s="8"/>
      <c r="E57" s="7">
        <v>3240</v>
      </c>
      <c r="F57" s="8">
        <v>36</v>
      </c>
      <c r="G57">
        <v>190</v>
      </c>
      <c r="H57">
        <v>190</v>
      </c>
    </row>
    <row r="58" spans="1:8">
      <c r="A58" t="s">
        <v>47</v>
      </c>
      <c r="B58" s="5">
        <v>44299</v>
      </c>
      <c r="D58" s="8"/>
      <c r="E58" s="7">
        <v>2351</v>
      </c>
      <c r="F58" s="8">
        <v>30.9</v>
      </c>
    </row>
    <row r="59" spans="1:8">
      <c r="A59" t="s">
        <v>47</v>
      </c>
      <c r="B59" s="5">
        <v>44306</v>
      </c>
      <c r="D59" s="8"/>
      <c r="E59" s="7">
        <v>2305</v>
      </c>
      <c r="F59" s="8">
        <v>30.3</v>
      </c>
    </row>
    <row r="60" spans="1:8">
      <c r="A60" t="s">
        <v>47</v>
      </c>
      <c r="B60" s="5">
        <v>44326</v>
      </c>
      <c r="D60" s="8"/>
      <c r="E60" s="7">
        <v>2436</v>
      </c>
      <c r="F60" s="8">
        <v>31.6</v>
      </c>
    </row>
    <row r="61" spans="1:8">
      <c r="A61" t="s">
        <v>45</v>
      </c>
      <c r="B61" s="5">
        <v>44347</v>
      </c>
      <c r="D61" s="8"/>
      <c r="E61" s="7">
        <v>2713</v>
      </c>
      <c r="F61" s="8">
        <v>33</v>
      </c>
      <c r="G61">
        <v>240</v>
      </c>
      <c r="H61">
        <v>240</v>
      </c>
    </row>
    <row r="62" spans="1:8">
      <c r="A62" t="s">
        <v>48</v>
      </c>
      <c r="B62" s="5">
        <v>44347</v>
      </c>
      <c r="C62">
        <v>389</v>
      </c>
      <c r="D62" s="8">
        <v>4.0999999999999996</v>
      </c>
      <c r="E62" s="7">
        <v>3496</v>
      </c>
      <c r="F62" s="8">
        <v>37.1</v>
      </c>
      <c r="G62">
        <v>188</v>
      </c>
      <c r="H62">
        <v>188</v>
      </c>
    </row>
    <row r="63" spans="1:8">
      <c r="A63" t="s">
        <v>43</v>
      </c>
      <c r="B63" s="5">
        <v>44347</v>
      </c>
      <c r="C63">
        <v>187</v>
      </c>
      <c r="D63" s="8">
        <v>2.2999999999999998</v>
      </c>
      <c r="E63" s="7">
        <v>2016</v>
      </c>
      <c r="F63" s="8">
        <v>24.6</v>
      </c>
      <c r="G63">
        <v>110</v>
      </c>
      <c r="H63">
        <v>110</v>
      </c>
    </row>
    <row r="64" spans="1:8">
      <c r="A64" t="s">
        <v>39</v>
      </c>
      <c r="B64" s="5">
        <v>44347</v>
      </c>
      <c r="C64">
        <v>351</v>
      </c>
      <c r="D64" s="8">
        <v>4</v>
      </c>
      <c r="E64" s="7">
        <v>3680</v>
      </c>
      <c r="F64" s="8">
        <v>42.4</v>
      </c>
      <c r="G64">
        <v>380</v>
      </c>
      <c r="H64">
        <v>380</v>
      </c>
    </row>
    <row r="65" spans="1:8">
      <c r="A65" t="s">
        <v>41</v>
      </c>
      <c r="B65" s="5">
        <v>44347</v>
      </c>
      <c r="C65">
        <v>372</v>
      </c>
      <c r="D65" s="8">
        <v>4.0999999999999996</v>
      </c>
      <c r="E65" s="7"/>
      <c r="F65" s="8"/>
      <c r="G65">
        <v>220</v>
      </c>
      <c r="H65">
        <v>220</v>
      </c>
    </row>
    <row r="66" spans="1:8">
      <c r="A66" t="s">
        <v>51</v>
      </c>
      <c r="B66" s="5">
        <v>44347</v>
      </c>
      <c r="C66">
        <v>194</v>
      </c>
      <c r="D66" s="8">
        <v>2.7</v>
      </c>
      <c r="E66" s="7">
        <v>2069</v>
      </c>
      <c r="F66" s="8">
        <v>29.1</v>
      </c>
      <c r="G66">
        <v>117</v>
      </c>
      <c r="H66">
        <v>117</v>
      </c>
    </row>
    <row r="67" spans="1:8">
      <c r="A67" t="s">
        <v>52</v>
      </c>
      <c r="B67" s="5">
        <v>44347</v>
      </c>
      <c r="C67">
        <v>337</v>
      </c>
      <c r="D67" s="8">
        <v>3.8</v>
      </c>
      <c r="E67" s="7">
        <v>3569</v>
      </c>
      <c r="F67" s="8">
        <v>40</v>
      </c>
      <c r="G67">
        <v>191</v>
      </c>
      <c r="H67">
        <v>191</v>
      </c>
    </row>
    <row r="68" spans="1:8">
      <c r="A68" t="s">
        <v>40</v>
      </c>
      <c r="B68" s="5">
        <v>44347</v>
      </c>
      <c r="C68">
        <v>389</v>
      </c>
      <c r="D68" s="8">
        <v>4.7</v>
      </c>
      <c r="E68" s="7">
        <v>2954</v>
      </c>
      <c r="F68" s="8">
        <v>35.799999999999997</v>
      </c>
      <c r="G68">
        <v>240</v>
      </c>
      <c r="H68">
        <v>220</v>
      </c>
    </row>
    <row r="69" spans="1:8">
      <c r="A69" t="s">
        <v>59</v>
      </c>
      <c r="B69" s="5">
        <v>44347</v>
      </c>
      <c r="C69">
        <v>250</v>
      </c>
      <c r="D69" s="8">
        <v>3</v>
      </c>
      <c r="E69" s="7">
        <v>2550</v>
      </c>
      <c r="F69" s="8">
        <v>30.5</v>
      </c>
      <c r="G69">
        <v>106</v>
      </c>
      <c r="H69">
        <v>106</v>
      </c>
    </row>
    <row r="70" spans="1:8">
      <c r="A70" t="s">
        <v>45</v>
      </c>
      <c r="B70" s="5">
        <v>44354</v>
      </c>
      <c r="D70" s="8"/>
      <c r="E70" s="7">
        <v>4158</v>
      </c>
      <c r="F70" s="8">
        <v>51</v>
      </c>
      <c r="G70">
        <v>240</v>
      </c>
      <c r="H70">
        <v>240</v>
      </c>
    </row>
    <row r="71" spans="1:8">
      <c r="A71" t="s">
        <v>41</v>
      </c>
      <c r="B71" s="5">
        <v>44354</v>
      </c>
      <c r="C71">
        <v>383</v>
      </c>
      <c r="D71" s="8">
        <v>4.2</v>
      </c>
      <c r="E71" s="7"/>
      <c r="F71" s="8"/>
      <c r="G71">
        <v>240</v>
      </c>
      <c r="H71">
        <v>225</v>
      </c>
    </row>
    <row r="72" spans="1:8">
      <c r="A72" t="s">
        <v>51</v>
      </c>
      <c r="B72" s="5">
        <v>44354</v>
      </c>
      <c r="C72">
        <v>221</v>
      </c>
      <c r="D72" s="8">
        <v>4</v>
      </c>
      <c r="E72" s="7">
        <v>2353</v>
      </c>
      <c r="F72" s="8">
        <v>33</v>
      </c>
      <c r="G72">
        <v>165</v>
      </c>
      <c r="H72">
        <v>165</v>
      </c>
    </row>
    <row r="73" spans="1:8">
      <c r="A73" t="s">
        <v>47</v>
      </c>
      <c r="B73" s="5">
        <v>44354</v>
      </c>
      <c r="D73" s="8"/>
      <c r="E73" s="7">
        <v>2568</v>
      </c>
      <c r="F73" s="8">
        <v>33.4</v>
      </c>
      <c r="G73">
        <v>200</v>
      </c>
      <c r="H73">
        <v>200</v>
      </c>
    </row>
    <row r="74" spans="1:8">
      <c r="A74" t="s">
        <v>52</v>
      </c>
      <c r="B74" s="5">
        <v>44354</v>
      </c>
      <c r="C74">
        <v>378</v>
      </c>
      <c r="D74" s="8">
        <v>4.2</v>
      </c>
      <c r="E74" s="7">
        <v>3825</v>
      </c>
      <c r="F74" s="8">
        <v>42.2</v>
      </c>
      <c r="G74">
        <v>205</v>
      </c>
      <c r="H74">
        <v>205</v>
      </c>
    </row>
    <row r="75" spans="1:8">
      <c r="A75" t="s">
        <v>59</v>
      </c>
      <c r="B75" s="5">
        <v>44354</v>
      </c>
      <c r="C75">
        <v>264</v>
      </c>
      <c r="D75" s="8">
        <v>3.2</v>
      </c>
      <c r="E75" s="7">
        <v>2777</v>
      </c>
      <c r="F75" s="8">
        <v>33.299999999999997</v>
      </c>
      <c r="G75">
        <v>160</v>
      </c>
      <c r="H75">
        <v>160</v>
      </c>
    </row>
    <row r="76" spans="1:8">
      <c r="A76" t="s">
        <v>47</v>
      </c>
      <c r="B76" s="5">
        <v>44363</v>
      </c>
      <c r="C76">
        <v>289</v>
      </c>
      <c r="D76" s="8">
        <v>3.7</v>
      </c>
      <c r="E76" s="7">
        <v>2674</v>
      </c>
      <c r="F76" s="8">
        <v>34.4</v>
      </c>
    </row>
    <row r="77" spans="1:8">
      <c r="A77" t="s">
        <v>47</v>
      </c>
      <c r="B77" s="5">
        <v>44372</v>
      </c>
      <c r="C77">
        <v>278</v>
      </c>
      <c r="D77" s="8">
        <v>3.5</v>
      </c>
      <c r="E77" s="7">
        <v>2544</v>
      </c>
      <c r="F77" s="8">
        <v>32.200000000000003</v>
      </c>
    </row>
    <row r="78" spans="1:8">
      <c r="A78" t="s">
        <v>43</v>
      </c>
      <c r="B78" s="5">
        <v>44386</v>
      </c>
      <c r="D78" s="8"/>
      <c r="E78" s="7">
        <v>1761</v>
      </c>
      <c r="F78" s="8">
        <v>21.5</v>
      </c>
    </row>
    <row r="79" spans="1:8">
      <c r="A79" t="s">
        <v>47</v>
      </c>
      <c r="B79" s="5">
        <v>44386</v>
      </c>
      <c r="C79">
        <v>304</v>
      </c>
      <c r="D79" s="8">
        <v>3.9</v>
      </c>
      <c r="E79" s="7">
        <v>2454</v>
      </c>
      <c r="F79" s="8">
        <v>31.1</v>
      </c>
    </row>
    <row r="80" spans="1:8">
      <c r="A80" t="s">
        <v>45</v>
      </c>
      <c r="B80" s="5">
        <v>44393</v>
      </c>
      <c r="C80">
        <v>320</v>
      </c>
      <c r="D80" s="8">
        <v>3.9</v>
      </c>
      <c r="E80" s="7">
        <v>4135</v>
      </c>
      <c r="F80" s="8">
        <v>50.3</v>
      </c>
      <c r="G80">
        <v>250</v>
      </c>
      <c r="H80">
        <v>220</v>
      </c>
    </row>
    <row r="81" spans="1:8">
      <c r="A81" t="s">
        <v>51</v>
      </c>
      <c r="B81" s="5">
        <v>44393</v>
      </c>
      <c r="C81">
        <v>210</v>
      </c>
      <c r="D81" s="8">
        <v>2.9</v>
      </c>
      <c r="E81" s="7">
        <v>2300</v>
      </c>
      <c r="F81" s="8">
        <v>32.299999999999997</v>
      </c>
      <c r="G81">
        <v>160</v>
      </c>
      <c r="H81">
        <v>150</v>
      </c>
    </row>
    <row r="82" spans="1:8">
      <c r="A82" t="s">
        <v>47</v>
      </c>
      <c r="B82" s="5">
        <v>44393</v>
      </c>
      <c r="C82">
        <v>321</v>
      </c>
      <c r="D82" s="8">
        <v>4.0999999999999996</v>
      </c>
      <c r="E82" s="7">
        <v>2402</v>
      </c>
      <c r="F82" s="8">
        <v>30.8</v>
      </c>
    </row>
    <row r="83" spans="1:8">
      <c r="A83" t="s">
        <v>52</v>
      </c>
      <c r="B83" s="5">
        <v>44393</v>
      </c>
      <c r="C83">
        <v>404</v>
      </c>
      <c r="D83" s="8">
        <v>4.5</v>
      </c>
      <c r="E83" s="7">
        <v>3643</v>
      </c>
      <c r="F83" s="8">
        <v>40.299999999999997</v>
      </c>
      <c r="G83">
        <v>170</v>
      </c>
      <c r="H83">
        <v>170</v>
      </c>
    </row>
    <row r="84" spans="1:8">
      <c r="A84" t="s">
        <v>59</v>
      </c>
      <c r="B84" s="5">
        <v>44393</v>
      </c>
      <c r="C84">
        <v>250</v>
      </c>
      <c r="D84" s="8">
        <v>3</v>
      </c>
      <c r="E84" s="7">
        <v>2534</v>
      </c>
      <c r="F84" s="8">
        <v>30.5</v>
      </c>
      <c r="G84">
        <v>170</v>
      </c>
      <c r="H84">
        <v>170</v>
      </c>
    </row>
    <row r="85" spans="1:8">
      <c r="A85" t="s">
        <v>53</v>
      </c>
      <c r="B85" s="5">
        <v>44461</v>
      </c>
      <c r="C85">
        <v>329</v>
      </c>
      <c r="D85" s="8">
        <v>4.0999999999999996</v>
      </c>
      <c r="E85" s="7">
        <v>3065</v>
      </c>
      <c r="F85" s="8">
        <v>38.6</v>
      </c>
    </row>
    <row r="86" spans="1:8">
      <c r="A86" t="s">
        <v>45</v>
      </c>
      <c r="B86" s="5">
        <v>44501</v>
      </c>
      <c r="D86" s="8"/>
      <c r="E86" s="7">
        <v>4288</v>
      </c>
      <c r="F86" s="8">
        <v>53.2</v>
      </c>
      <c r="G86">
        <v>220</v>
      </c>
      <c r="H86">
        <v>220</v>
      </c>
    </row>
    <row r="87" spans="1:8">
      <c r="A87" t="s">
        <v>43</v>
      </c>
      <c r="B87" s="5">
        <v>44501</v>
      </c>
      <c r="D87" s="8"/>
      <c r="E87" s="7">
        <v>1605</v>
      </c>
      <c r="F87" s="8">
        <v>19.600000000000001</v>
      </c>
    </row>
    <row r="88" spans="1:8">
      <c r="A88" t="s">
        <v>52</v>
      </c>
      <c r="B88" s="5">
        <v>44501</v>
      </c>
      <c r="D88" s="8"/>
      <c r="E88" s="7">
        <v>4027</v>
      </c>
      <c r="F88" s="8">
        <v>45.5</v>
      </c>
      <c r="G88">
        <v>170</v>
      </c>
      <c r="H88">
        <v>170</v>
      </c>
    </row>
    <row r="89" spans="1:8">
      <c r="A89" t="s">
        <v>55</v>
      </c>
      <c r="B89" s="5">
        <v>44501</v>
      </c>
      <c r="D89" s="8"/>
      <c r="E89" s="7">
        <v>3964</v>
      </c>
      <c r="F89" s="8">
        <v>40</v>
      </c>
      <c r="G89">
        <v>160</v>
      </c>
      <c r="H89">
        <v>160</v>
      </c>
    </row>
    <row r="90" spans="1:8">
      <c r="A90" t="s">
        <v>45</v>
      </c>
      <c r="B90" s="5">
        <v>44508</v>
      </c>
      <c r="C90">
        <v>263</v>
      </c>
      <c r="D90" s="8">
        <v>3.3</v>
      </c>
      <c r="E90" s="7">
        <v>3802</v>
      </c>
      <c r="F90" s="8">
        <v>47</v>
      </c>
      <c r="G90">
        <v>240</v>
      </c>
      <c r="H90">
        <v>240</v>
      </c>
    </row>
    <row r="91" spans="1:8">
      <c r="A91" t="s">
        <v>48</v>
      </c>
      <c r="B91" s="5">
        <v>44508</v>
      </c>
      <c r="C91">
        <v>334</v>
      </c>
      <c r="D91" s="8">
        <v>3.6</v>
      </c>
      <c r="E91" s="7">
        <v>3235</v>
      </c>
      <c r="F91" s="8">
        <v>35.200000000000003</v>
      </c>
      <c r="G91">
        <v>195</v>
      </c>
      <c r="H91">
        <v>185</v>
      </c>
    </row>
    <row r="92" spans="1:8">
      <c r="A92" t="s">
        <v>51</v>
      </c>
      <c r="B92" s="5">
        <v>44508</v>
      </c>
      <c r="C92">
        <v>220</v>
      </c>
      <c r="D92" s="8">
        <v>3.1</v>
      </c>
      <c r="E92" s="7">
        <v>2513</v>
      </c>
      <c r="F92" s="8">
        <v>35.5</v>
      </c>
      <c r="G92">
        <v>170</v>
      </c>
      <c r="H92">
        <v>150</v>
      </c>
    </row>
    <row r="93" spans="1:8">
      <c r="A93" t="s">
        <v>52</v>
      </c>
      <c r="B93" s="5">
        <v>44508</v>
      </c>
      <c r="C93">
        <v>407</v>
      </c>
      <c r="D93" s="8">
        <v>4.5999999999999996</v>
      </c>
      <c r="E93" s="7">
        <v>3260</v>
      </c>
      <c r="F93" s="8">
        <v>36.799999999999997</v>
      </c>
      <c r="G93">
        <v>215</v>
      </c>
      <c r="H93">
        <v>215</v>
      </c>
    </row>
    <row r="94" spans="1:8">
      <c r="A94" t="s">
        <v>55</v>
      </c>
      <c r="B94" s="5">
        <v>44508</v>
      </c>
      <c r="C94">
        <v>280</v>
      </c>
      <c r="D94" s="8">
        <v>2.9</v>
      </c>
      <c r="E94" s="7">
        <v>3508</v>
      </c>
      <c r="F94" s="8">
        <v>35.799999999999997</v>
      </c>
      <c r="G94">
        <v>175</v>
      </c>
      <c r="H94">
        <v>175</v>
      </c>
    </row>
    <row r="95" spans="1:8">
      <c r="A95" t="s">
        <v>45</v>
      </c>
      <c r="B95" s="5">
        <v>44620</v>
      </c>
      <c r="C95">
        <v>275</v>
      </c>
      <c r="D95" s="8">
        <v>3.4</v>
      </c>
      <c r="E95" s="7">
        <v>4826</v>
      </c>
      <c r="F95" s="8">
        <v>59.8</v>
      </c>
      <c r="G95">
        <v>220</v>
      </c>
      <c r="H95">
        <v>220</v>
      </c>
    </row>
    <row r="96" spans="1:8">
      <c r="A96" t="s">
        <v>53</v>
      </c>
      <c r="B96" s="5">
        <v>44620</v>
      </c>
      <c r="C96">
        <v>327</v>
      </c>
      <c r="D96" s="8">
        <v>4.0999999999999996</v>
      </c>
      <c r="E96" s="7">
        <v>3876.8</v>
      </c>
      <c r="F96" s="8">
        <v>48.4</v>
      </c>
    </row>
    <row r="97" spans="1:8">
      <c r="A97" t="s">
        <v>51</v>
      </c>
      <c r="B97" s="5">
        <v>44620</v>
      </c>
      <c r="C97">
        <v>235</v>
      </c>
      <c r="D97" s="8">
        <v>3.3</v>
      </c>
      <c r="E97" s="7">
        <v>2619.6</v>
      </c>
      <c r="F97" s="8">
        <v>37</v>
      </c>
      <c r="G97">
        <v>170</v>
      </c>
      <c r="H97">
        <v>160</v>
      </c>
    </row>
    <row r="98" spans="1:8">
      <c r="A98" t="s">
        <v>52</v>
      </c>
      <c r="B98" s="5">
        <v>44620</v>
      </c>
      <c r="C98">
        <v>349.6</v>
      </c>
      <c r="D98" s="8">
        <v>3.8</v>
      </c>
      <c r="E98" s="7">
        <v>4083.2</v>
      </c>
      <c r="F98" s="8">
        <v>44</v>
      </c>
      <c r="G98">
        <v>205</v>
      </c>
      <c r="H98">
        <v>220</v>
      </c>
    </row>
    <row r="99" spans="1:8">
      <c r="A99" t="s">
        <v>55</v>
      </c>
      <c r="B99" s="5">
        <v>44620</v>
      </c>
      <c r="C99">
        <v>277</v>
      </c>
      <c r="D99" s="8">
        <v>2.8</v>
      </c>
      <c r="E99" s="7">
        <v>3917.8</v>
      </c>
      <c r="F99" s="8">
        <v>40.1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461D-8425-48DA-8BB6-425F14A67379}">
  <dimension ref="A1:R17"/>
  <sheetViews>
    <sheetView tabSelected="1" workbookViewId="0">
      <selection activeCell="C13" sqref="C13"/>
    </sheetView>
  </sheetViews>
  <sheetFormatPr defaultColWidth="9" defaultRowHeight="14.45"/>
  <cols>
    <col min="1" max="1" width="19" bestFit="1" customWidth="1"/>
    <col min="2" max="2" width="11.42578125" bestFit="1" customWidth="1"/>
    <col min="3" max="3" width="17.7109375" customWidth="1"/>
    <col min="8" max="8" width="14.140625" customWidth="1"/>
    <col min="10" max="10" width="10.28515625" bestFit="1" customWidth="1"/>
    <col min="11" max="11" width="12.28515625" customWidth="1"/>
    <col min="12" max="14" width="15.28515625" customWidth="1"/>
    <col min="15" max="15" width="10.7109375" customWidth="1"/>
    <col min="16" max="16" width="13.28515625" customWidth="1"/>
    <col min="17" max="17" width="17.85546875" customWidth="1"/>
    <col min="18" max="18" width="15.28515625" customWidth="1"/>
  </cols>
  <sheetData>
    <row r="1" spans="1:18">
      <c r="A1" t="s">
        <v>168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84</v>
      </c>
      <c r="H1" t="s">
        <v>183</v>
      </c>
      <c r="I1" t="s">
        <v>106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  <c r="O1" t="s">
        <v>189</v>
      </c>
      <c r="P1" t="s">
        <v>190</v>
      </c>
      <c r="Q1" t="s">
        <v>191</v>
      </c>
      <c r="R1" t="s">
        <v>192</v>
      </c>
    </row>
    <row r="2" spans="1:18">
      <c r="A2" t="s">
        <v>39</v>
      </c>
      <c r="B2" s="5">
        <v>33288</v>
      </c>
      <c r="C2" s="5">
        <v>44165</v>
      </c>
      <c r="D2" s="6">
        <f>(PBs[[#This Row],[Today]]-PBs[[#This Row],[DOB]])/365</f>
        <v>29.8</v>
      </c>
      <c r="E2" s="7">
        <v>86</v>
      </c>
      <c r="F2" s="8">
        <v>1.8</v>
      </c>
      <c r="G2" s="9">
        <v>0.25</v>
      </c>
      <c r="H2" s="8">
        <v>16.989999999999998</v>
      </c>
      <c r="I2" s="8">
        <v>9.64</v>
      </c>
      <c r="J2" s="8">
        <v>25.49</v>
      </c>
      <c r="K2">
        <v>2443</v>
      </c>
      <c r="L2" s="6">
        <v>29</v>
      </c>
      <c r="M2" s="7">
        <v>1313</v>
      </c>
      <c r="N2" s="7">
        <f>PBs[[#This Row],[Max 30s Watts]]/PBs[[#This Row],[CdA]]</f>
        <v>5252</v>
      </c>
      <c r="O2" s="7">
        <v>473</v>
      </c>
      <c r="P2" s="8">
        <v>5.62</v>
      </c>
      <c r="Q2" s="7">
        <v>215</v>
      </c>
      <c r="R2" s="8">
        <v>2.5</v>
      </c>
    </row>
    <row r="3" spans="1:18">
      <c r="A3" t="s">
        <v>40</v>
      </c>
      <c r="B3" s="5">
        <v>33435</v>
      </c>
      <c r="C3" s="5">
        <v>44165</v>
      </c>
      <c r="D3" s="6">
        <f>(PBs[[#This Row],[Today]]-PBs[[#This Row],[DOB]])/365</f>
        <v>29.397260273972602</v>
      </c>
      <c r="E3" s="7">
        <v>85</v>
      </c>
      <c r="F3" s="8">
        <v>1.83</v>
      </c>
      <c r="G3" s="9">
        <v>0.20499999999999999</v>
      </c>
      <c r="H3" s="8">
        <v>17.52</v>
      </c>
      <c r="I3" s="8">
        <v>9.61</v>
      </c>
      <c r="J3" s="8">
        <v>25.22</v>
      </c>
      <c r="K3">
        <v>2251</v>
      </c>
      <c r="L3" s="6">
        <v>26</v>
      </c>
      <c r="M3" s="7">
        <v>1287</v>
      </c>
      <c r="N3" s="7">
        <f>PBs[[#This Row],[Max 30s Watts]]/PBs[[#This Row],[CdA]]</f>
        <v>6278.0487804878048</v>
      </c>
      <c r="O3" s="7">
        <v>465</v>
      </c>
      <c r="P3" s="8">
        <v>5.58</v>
      </c>
      <c r="Q3" s="7">
        <v>180</v>
      </c>
      <c r="R3" s="8">
        <v>2.2000000000000002</v>
      </c>
    </row>
    <row r="4" spans="1:18">
      <c r="A4" t="s">
        <v>193</v>
      </c>
      <c r="B4" s="5">
        <v>31552</v>
      </c>
      <c r="C4" s="5">
        <v>42523</v>
      </c>
      <c r="D4" s="6">
        <f>(PBs[[#This Row],[Today]]-PBs[[#This Row],[DOB]])/365</f>
        <v>30.057534246575344</v>
      </c>
      <c r="E4" s="7">
        <v>96</v>
      </c>
      <c r="F4">
        <v>1.81</v>
      </c>
      <c r="H4" s="8">
        <v>17.600000000000001</v>
      </c>
      <c r="I4" s="8">
        <v>9.68</v>
      </c>
      <c r="J4" s="8">
        <v>26.31</v>
      </c>
      <c r="K4" s="7">
        <v>2523</v>
      </c>
      <c r="L4" s="6">
        <v>26.5</v>
      </c>
      <c r="M4" s="7">
        <v>1393</v>
      </c>
      <c r="N4" s="7"/>
      <c r="O4" s="7">
        <v>493</v>
      </c>
      <c r="P4" s="8">
        <v>5.18</v>
      </c>
      <c r="Q4" s="7">
        <v>260</v>
      </c>
      <c r="R4" s="8">
        <v>2.7</v>
      </c>
    </row>
    <row r="5" spans="1:18">
      <c r="A5" t="s">
        <v>165</v>
      </c>
      <c r="B5" s="5">
        <v>32731</v>
      </c>
      <c r="C5" s="5">
        <v>43997</v>
      </c>
      <c r="D5" s="6">
        <f>(PBs[[#This Row],[Today]]-PBs[[#This Row],[DOB]])/365</f>
        <v>30.865753424657534</v>
      </c>
      <c r="E5" s="7">
        <v>99.097472924187727</v>
      </c>
      <c r="F5" s="8">
        <v>1.86</v>
      </c>
      <c r="G5" s="9">
        <v>0.23200000000000001</v>
      </c>
      <c r="H5" s="8">
        <v>17.77</v>
      </c>
      <c r="I5" s="8">
        <v>9.66</v>
      </c>
      <c r="J5" s="8">
        <v>25.59</v>
      </c>
      <c r="K5">
        <v>2627</v>
      </c>
      <c r="L5" s="6">
        <v>26.03</v>
      </c>
      <c r="M5" s="7">
        <v>1508</v>
      </c>
      <c r="N5" s="7">
        <f>PBs[[#This Row],[Max 30s Watts]]/PBs[[#This Row],[CdA]]</f>
        <v>6500</v>
      </c>
      <c r="O5" s="7">
        <v>549</v>
      </c>
      <c r="P5" s="8">
        <v>5.54</v>
      </c>
      <c r="Q5" s="7">
        <v>260</v>
      </c>
      <c r="R5" s="8">
        <v>2.6530612244897958</v>
      </c>
    </row>
    <row r="6" spans="1:18">
      <c r="A6" t="s">
        <v>45</v>
      </c>
      <c r="B6" s="5">
        <v>36140</v>
      </c>
      <c r="C6" s="5">
        <v>43997</v>
      </c>
      <c r="D6" s="6">
        <f>(PBs[[#This Row],[Today]]-PBs[[#This Row],[DOB]])/365</f>
        <v>21.526027397260275</v>
      </c>
      <c r="E6" s="7">
        <v>81.045751633986924</v>
      </c>
      <c r="F6" s="8">
        <v>1.76</v>
      </c>
      <c r="G6" s="9"/>
      <c r="H6" s="8">
        <v>17.84</v>
      </c>
      <c r="I6" s="8">
        <v>9.89</v>
      </c>
      <c r="J6" s="8">
        <v>26.16</v>
      </c>
      <c r="K6">
        <v>2126</v>
      </c>
      <c r="L6" s="6">
        <v>26.5</v>
      </c>
      <c r="M6" s="7">
        <v>1194</v>
      </c>
      <c r="N6" s="7"/>
      <c r="O6" s="7">
        <v>372</v>
      </c>
      <c r="P6" s="8">
        <v>4.59</v>
      </c>
      <c r="Q6" s="7">
        <v>170</v>
      </c>
      <c r="R6" s="8">
        <v>2.1656050955414012</v>
      </c>
    </row>
    <row r="7" spans="1:18">
      <c r="A7" t="s">
        <v>194</v>
      </c>
      <c r="B7" s="5">
        <v>34901</v>
      </c>
      <c r="C7" s="5">
        <v>43997</v>
      </c>
      <c r="D7" s="6">
        <f>(PBs[[#This Row],[Today]]-PBs[[#This Row],[DOB]])/365</f>
        <v>24.920547945205481</v>
      </c>
      <c r="E7" s="7">
        <v>90</v>
      </c>
      <c r="F7" s="8">
        <v>1.81</v>
      </c>
      <c r="G7" s="9"/>
      <c r="H7" s="8">
        <v>17.97</v>
      </c>
      <c r="I7" s="8">
        <v>10.07</v>
      </c>
      <c r="J7" s="8">
        <v>26</v>
      </c>
      <c r="K7">
        <v>2180</v>
      </c>
      <c r="L7" s="6">
        <v>24.611923509561304</v>
      </c>
      <c r="M7" s="7">
        <v>1331</v>
      </c>
      <c r="N7" s="7"/>
      <c r="O7" s="7">
        <v>442</v>
      </c>
      <c r="P7" s="8">
        <v>4.9400000000000004</v>
      </c>
      <c r="Q7" s="7">
        <v>213</v>
      </c>
      <c r="R7" s="8">
        <v>2.393258426966292</v>
      </c>
    </row>
    <row r="8" spans="1:18">
      <c r="A8" t="s">
        <v>195</v>
      </c>
      <c r="B8" s="5">
        <v>32485</v>
      </c>
      <c r="C8" s="5">
        <v>42649</v>
      </c>
      <c r="D8" s="6">
        <f>(PBs[[#This Row],[Today]]-PBs[[#This Row],[DOB]])/365</f>
        <v>27.846575342465755</v>
      </c>
      <c r="E8" s="7">
        <v>92</v>
      </c>
      <c r="F8">
        <v>1.84</v>
      </c>
      <c r="H8" s="8">
        <v>18.02</v>
      </c>
      <c r="I8" s="8">
        <v>9.84</v>
      </c>
      <c r="J8" s="8">
        <v>26.28</v>
      </c>
      <c r="K8" s="7">
        <v>2157</v>
      </c>
      <c r="L8" s="6">
        <v>24</v>
      </c>
      <c r="M8" s="7">
        <v>1315</v>
      </c>
      <c r="N8" s="7"/>
      <c r="O8" s="7">
        <v>488</v>
      </c>
      <c r="P8" s="8">
        <v>4.96</v>
      </c>
      <c r="Q8" s="7">
        <v>220</v>
      </c>
      <c r="R8" s="8">
        <v>2.4</v>
      </c>
    </row>
    <row r="9" spans="1:18">
      <c r="A9" t="s">
        <v>41</v>
      </c>
      <c r="B9" s="5">
        <v>35217</v>
      </c>
      <c r="C9" s="5">
        <v>44165</v>
      </c>
      <c r="D9" s="6">
        <f>(PBs[[#This Row],[Today]]-PBs[[#This Row],[DOB]])/365</f>
        <v>24.515068493150686</v>
      </c>
      <c r="E9" s="7">
        <v>90</v>
      </c>
      <c r="F9" s="8">
        <v>1.78</v>
      </c>
      <c r="G9" s="9">
        <v>0.22</v>
      </c>
      <c r="H9" s="8">
        <v>18.09</v>
      </c>
      <c r="I9" s="8">
        <v>10.050000000000001</v>
      </c>
      <c r="J9" s="8">
        <v>26.21</v>
      </c>
      <c r="K9">
        <v>2123</v>
      </c>
      <c r="L9" s="6">
        <v>24.5</v>
      </c>
      <c r="M9" s="7">
        <v>1259</v>
      </c>
      <c r="N9" s="7">
        <f>PBs[[#This Row],[Max 30s Watts]]/PBs[[#This Row],[CdA]]</f>
        <v>5722.727272727273</v>
      </c>
      <c r="O9" s="7">
        <v>439</v>
      </c>
      <c r="P9" s="8">
        <v>5.15</v>
      </c>
      <c r="Q9" s="7">
        <v>200</v>
      </c>
      <c r="R9" s="8">
        <v>2.2727272727272729</v>
      </c>
    </row>
    <row r="10" spans="1:18">
      <c r="A10" t="s">
        <v>55</v>
      </c>
      <c r="B10" s="5">
        <v>35312</v>
      </c>
      <c r="C10" s="5">
        <v>44165</v>
      </c>
      <c r="D10" s="6">
        <f>(PBs[[#This Row],[Today]]-PBs[[#This Row],[DOB]])/365</f>
        <v>24.254794520547946</v>
      </c>
      <c r="E10" s="7">
        <v>94</v>
      </c>
      <c r="F10" s="8">
        <v>1.83</v>
      </c>
      <c r="G10" s="9">
        <v>0.218</v>
      </c>
      <c r="H10" s="8">
        <v>18.309999999999999</v>
      </c>
      <c r="I10" s="8">
        <v>9.73</v>
      </c>
      <c r="J10" s="8">
        <v>26.46</v>
      </c>
      <c r="K10">
        <v>2210</v>
      </c>
      <c r="L10" s="6">
        <v>23.5</v>
      </c>
      <c r="M10" s="7">
        <v>1264</v>
      </c>
      <c r="N10" s="7">
        <f>PBs[[#This Row],[Max 30s Watts]]/PBs[[#This Row],[CdA]]</f>
        <v>5798.1651376146792</v>
      </c>
      <c r="O10" s="7">
        <v>445</v>
      </c>
      <c r="P10" s="8">
        <v>4.82</v>
      </c>
      <c r="Q10" s="7">
        <v>200</v>
      </c>
      <c r="R10" s="8">
        <v>2.2598870056497176</v>
      </c>
    </row>
    <row r="11" spans="1:18">
      <c r="A11" t="s">
        <v>48</v>
      </c>
      <c r="B11" s="5">
        <v>34988</v>
      </c>
      <c r="C11" s="5">
        <v>44165</v>
      </c>
      <c r="D11" s="6">
        <f>(PBs[[#This Row],[Today]]-PBs[[#This Row],[DOB]])/365</f>
        <v>25.142465753424659</v>
      </c>
      <c r="E11" s="7">
        <v>93</v>
      </c>
      <c r="F11" s="8">
        <v>1.85</v>
      </c>
      <c r="G11" s="9">
        <v>0.20300000000000001</v>
      </c>
      <c r="H11" s="8">
        <v>18.34</v>
      </c>
      <c r="I11" s="8">
        <v>9.93</v>
      </c>
      <c r="J11" s="8">
        <v>26.66</v>
      </c>
      <c r="K11">
        <v>2122</v>
      </c>
      <c r="L11" s="6">
        <v>23.522083805209515</v>
      </c>
      <c r="M11" s="7">
        <v>1247</v>
      </c>
      <c r="N11" s="7">
        <f>PBs[[#This Row],[Max 30s Watts]]/PBs[[#This Row],[CdA]]</f>
        <v>6142.8571428571422</v>
      </c>
      <c r="O11" s="7">
        <v>448</v>
      </c>
      <c r="P11" s="8">
        <v>5.05</v>
      </c>
      <c r="Q11" s="7"/>
      <c r="R11" s="8"/>
    </row>
    <row r="12" spans="1:18">
      <c r="A12" t="s">
        <v>47</v>
      </c>
      <c r="B12" s="5">
        <v>35574</v>
      </c>
      <c r="C12" s="5">
        <v>44165</v>
      </c>
      <c r="D12" s="6">
        <f>(PBs[[#This Row],[Today]]-PBs[[#This Row],[DOB]])/365</f>
        <v>23.536986301369861</v>
      </c>
      <c r="E12" s="7">
        <v>73</v>
      </c>
      <c r="F12" s="8">
        <v>1.74</v>
      </c>
      <c r="G12" s="9">
        <v>0.21199999999999999</v>
      </c>
      <c r="H12" s="8">
        <v>19.03</v>
      </c>
      <c r="I12" s="8">
        <v>10.68</v>
      </c>
      <c r="J12" s="8">
        <v>28.23</v>
      </c>
      <c r="K12">
        <v>1725</v>
      </c>
      <c r="L12" s="6">
        <v>23.6</v>
      </c>
      <c r="M12" s="7">
        <v>910</v>
      </c>
      <c r="N12" s="7">
        <f>PBs[[#This Row],[Max 30s Watts]]/PBs[[#This Row],[CdA]]</f>
        <v>4292.4528301886794</v>
      </c>
      <c r="O12" s="7">
        <v>357</v>
      </c>
      <c r="P12" s="8">
        <v>4.9400000000000004</v>
      </c>
      <c r="Q12" s="7">
        <v>115</v>
      </c>
      <c r="R12" s="8">
        <v>1.59</v>
      </c>
    </row>
    <row r="13" spans="1:18">
      <c r="A13" t="s">
        <v>42</v>
      </c>
      <c r="B13" s="5">
        <v>32827</v>
      </c>
      <c r="C13" s="5">
        <v>44165</v>
      </c>
      <c r="D13" s="6">
        <f>(PBs[[#This Row],[Today]]-PBs[[#This Row],[DOB]])/365</f>
        <v>31.063013698630137</v>
      </c>
      <c r="E13" s="7">
        <v>65</v>
      </c>
      <c r="F13" s="8">
        <v>1.68</v>
      </c>
      <c r="G13" s="9"/>
      <c r="H13" s="8">
        <v>19.059999999999999</v>
      </c>
      <c r="I13" s="8">
        <v>10.64</v>
      </c>
      <c r="J13" s="8">
        <v>29.02</v>
      </c>
      <c r="K13">
        <v>1531</v>
      </c>
      <c r="L13" s="6">
        <v>22.850746268656717</v>
      </c>
      <c r="M13" s="7">
        <v>904</v>
      </c>
      <c r="N13" s="7"/>
      <c r="O13" s="7">
        <v>323</v>
      </c>
      <c r="P13" s="8">
        <v>5.12</v>
      </c>
      <c r="Q13" s="7"/>
      <c r="R13" s="8"/>
    </row>
    <row r="14" spans="1:18">
      <c r="A14" t="s">
        <v>44</v>
      </c>
      <c r="B14" s="5">
        <v>35846</v>
      </c>
      <c r="C14" s="5">
        <v>44165</v>
      </c>
      <c r="D14" s="6">
        <f>(PBs[[#This Row],[Today]]-PBs[[#This Row],[DOB]])/365</f>
        <v>22.791780821917808</v>
      </c>
      <c r="E14" s="7">
        <v>64.5</v>
      </c>
      <c r="F14" s="8">
        <v>1.7</v>
      </c>
      <c r="G14" s="9">
        <v>0.218</v>
      </c>
      <c r="H14" s="8">
        <v>19.09</v>
      </c>
      <c r="I14" s="8">
        <v>10.9</v>
      </c>
      <c r="J14" s="8">
        <v>29.92</v>
      </c>
      <c r="K14">
        <v>1442</v>
      </c>
      <c r="L14" s="6">
        <v>21.813953488372093</v>
      </c>
      <c r="M14" s="7">
        <v>781</v>
      </c>
      <c r="N14" s="7">
        <f>PBs[[#This Row],[Max 30s Watts]]/PBs[[#This Row],[CdA]]</f>
        <v>3582.5688073394494</v>
      </c>
      <c r="O14" s="7">
        <v>303</v>
      </c>
      <c r="P14" s="8">
        <v>4.7269890795631833</v>
      </c>
      <c r="Q14" s="7">
        <v>110</v>
      </c>
      <c r="R14" s="8">
        <v>1.6923076923076923</v>
      </c>
    </row>
    <row r="15" spans="1:18">
      <c r="A15" t="s">
        <v>59</v>
      </c>
      <c r="B15" s="5">
        <v>36802</v>
      </c>
      <c r="C15" s="5">
        <v>44165</v>
      </c>
      <c r="D15" s="6">
        <f>(PBs[[#This Row],[Today]]-PBs[[#This Row],[DOB]])/365</f>
        <v>20.172602739726027</v>
      </c>
      <c r="E15" s="7">
        <v>81</v>
      </c>
      <c r="F15" s="8">
        <v>1.8</v>
      </c>
      <c r="G15">
        <v>0.22800000000000001</v>
      </c>
      <c r="H15" s="8">
        <v>19.71</v>
      </c>
      <c r="I15" s="8">
        <v>10.88</v>
      </c>
      <c r="J15" s="8">
        <v>29.65</v>
      </c>
      <c r="K15" s="7">
        <v>1554</v>
      </c>
      <c r="L15" s="6">
        <v>19.2</v>
      </c>
      <c r="M15" s="7">
        <v>931</v>
      </c>
      <c r="N15" s="7">
        <f>PBs[[#This Row],[Max 30s Watts]]/PBs[[#This Row],[CdA]]</f>
        <v>4083.333333333333</v>
      </c>
      <c r="O15" s="7">
        <v>363</v>
      </c>
      <c r="P15" s="8">
        <v>4.55</v>
      </c>
      <c r="Q15" s="7"/>
      <c r="R15" s="8"/>
    </row>
    <row r="16" spans="1:18">
      <c r="A16" t="s">
        <v>43</v>
      </c>
      <c r="B16" s="5">
        <v>36525</v>
      </c>
      <c r="C16" s="5">
        <v>44165</v>
      </c>
      <c r="D16" s="6">
        <f>(PBs[[#This Row],[Today]]-PBs[[#This Row],[DOB]])/365</f>
        <v>20.931506849315067</v>
      </c>
      <c r="E16" s="7">
        <v>79</v>
      </c>
      <c r="F16" s="8">
        <v>1.77</v>
      </c>
      <c r="G16" s="9">
        <v>0.223</v>
      </c>
      <c r="H16" s="8">
        <v>19.75</v>
      </c>
      <c r="I16" s="8">
        <v>10.76</v>
      </c>
      <c r="J16" s="8">
        <v>28.69</v>
      </c>
      <c r="K16">
        <v>1616</v>
      </c>
      <c r="L16" s="6">
        <v>20.399999999999999</v>
      </c>
      <c r="M16" s="7">
        <v>931</v>
      </c>
      <c r="N16" s="7">
        <f>PBs[[#This Row],[Max 30s Watts]]/PBs[[#This Row],[CdA]]</f>
        <v>4174.8878923766815</v>
      </c>
      <c r="O16" s="7">
        <v>312</v>
      </c>
      <c r="P16" s="8">
        <v>4.28</v>
      </c>
      <c r="Q16" s="7"/>
      <c r="R16" s="8"/>
    </row>
    <row r="17" spans="1:18">
      <c r="A17" t="s">
        <v>49</v>
      </c>
      <c r="B17" s="5">
        <v>35970</v>
      </c>
      <c r="C17" s="5">
        <v>44165</v>
      </c>
      <c r="D17" s="6">
        <f>(PBs[[#This Row],[Today]]-PBs[[#This Row],[DOB]])/365</f>
        <v>22.452054794520549</v>
      </c>
      <c r="E17" s="7">
        <v>64</v>
      </c>
      <c r="F17">
        <v>1.64</v>
      </c>
      <c r="G17">
        <v>0.19500000000000001</v>
      </c>
      <c r="H17" s="8">
        <v>21.03</v>
      </c>
      <c r="I17" s="8">
        <v>12.04</v>
      </c>
      <c r="J17" s="8">
        <v>32.299999999999997</v>
      </c>
      <c r="K17" s="7">
        <v>1141</v>
      </c>
      <c r="L17">
        <v>17.8</v>
      </c>
      <c r="M17" s="7">
        <v>715</v>
      </c>
      <c r="N17" s="7">
        <f>PBs[[#This Row],[Max 30s Watts]]/PBs[[#This Row],[CdA]]</f>
        <v>3666.6666666666665</v>
      </c>
      <c r="O17" s="7">
        <v>250</v>
      </c>
      <c r="P17" s="8">
        <v>3.73</v>
      </c>
      <c r="Q17" s="7"/>
      <c r="R17" s="8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96E1-EE6B-4B67-8E20-5AED8E34EE88}">
  <dimension ref="A1:E50"/>
  <sheetViews>
    <sheetView topLeftCell="A34" workbookViewId="0">
      <selection activeCell="C2" sqref="C2"/>
    </sheetView>
  </sheetViews>
  <sheetFormatPr defaultRowHeight="14.45"/>
  <cols>
    <col min="1" max="1" width="14.28515625" bestFit="1" customWidth="1"/>
    <col min="2" max="2" width="9.7109375" bestFit="1" customWidth="1"/>
    <col min="4" max="4" width="13.28515625" customWidth="1"/>
    <col min="5" max="5" width="10.28515625" bestFit="1" customWidth="1"/>
  </cols>
  <sheetData>
    <row r="1" spans="1:5">
      <c r="A1" t="s">
        <v>0</v>
      </c>
      <c r="B1" t="s">
        <v>1</v>
      </c>
      <c r="C1" t="s">
        <v>196</v>
      </c>
      <c r="D1" t="s">
        <v>197</v>
      </c>
      <c r="E1" t="s">
        <v>198</v>
      </c>
    </row>
    <row r="2" spans="1:5">
      <c r="A2" t="s">
        <v>40</v>
      </c>
      <c r="B2" s="5">
        <v>41275</v>
      </c>
      <c r="C2">
        <v>28</v>
      </c>
      <c r="D2">
        <v>7380</v>
      </c>
      <c r="E2">
        <v>6460</v>
      </c>
    </row>
    <row r="3" spans="1:5">
      <c r="A3" t="s">
        <v>40</v>
      </c>
      <c r="B3" s="5">
        <v>41306</v>
      </c>
      <c r="C3">
        <v>28</v>
      </c>
      <c r="D3">
        <v>7380</v>
      </c>
      <c r="E3">
        <v>6460</v>
      </c>
    </row>
    <row r="4" spans="1:5">
      <c r="A4" t="s">
        <v>40</v>
      </c>
      <c r="B4" s="5">
        <v>41640</v>
      </c>
      <c r="C4">
        <v>28</v>
      </c>
      <c r="D4">
        <v>7380</v>
      </c>
      <c r="E4">
        <v>6460</v>
      </c>
    </row>
    <row r="5" spans="1:5">
      <c r="A5" t="s">
        <v>40</v>
      </c>
      <c r="B5" s="5">
        <v>42005</v>
      </c>
      <c r="C5">
        <v>28</v>
      </c>
      <c r="D5">
        <v>7380</v>
      </c>
      <c r="E5">
        <v>6460</v>
      </c>
    </row>
    <row r="6" spans="1:5">
      <c r="A6" t="s">
        <v>40</v>
      </c>
      <c r="B6" s="5">
        <v>42370</v>
      </c>
      <c r="C6">
        <v>28</v>
      </c>
      <c r="D6">
        <v>7380</v>
      </c>
      <c r="E6">
        <v>6460</v>
      </c>
    </row>
    <row r="7" spans="1:5">
      <c r="A7" t="s">
        <v>40</v>
      </c>
      <c r="B7" s="5">
        <v>42736</v>
      </c>
      <c r="C7">
        <v>28</v>
      </c>
      <c r="D7">
        <v>7380</v>
      </c>
      <c r="E7">
        <v>6460</v>
      </c>
    </row>
    <row r="8" spans="1:5">
      <c r="A8" t="s">
        <v>40</v>
      </c>
      <c r="B8" s="5">
        <v>43101</v>
      </c>
      <c r="C8">
        <v>28</v>
      </c>
      <c r="D8">
        <v>7380</v>
      </c>
      <c r="E8">
        <v>6460</v>
      </c>
    </row>
    <row r="9" spans="1:5">
      <c r="A9" t="s">
        <v>40</v>
      </c>
      <c r="B9" s="5">
        <v>43466</v>
      </c>
      <c r="C9">
        <v>28</v>
      </c>
      <c r="D9">
        <v>7380</v>
      </c>
      <c r="E9">
        <v>6460</v>
      </c>
    </row>
    <row r="10" spans="1:5">
      <c r="A10" t="s">
        <v>40</v>
      </c>
      <c r="B10" s="5">
        <v>43831</v>
      </c>
      <c r="C10">
        <v>28</v>
      </c>
      <c r="D10">
        <v>7380</v>
      </c>
      <c r="E10">
        <v>6460</v>
      </c>
    </row>
    <row r="11" spans="1:5">
      <c r="A11" t="s">
        <v>40</v>
      </c>
      <c r="B11" s="5">
        <v>44197</v>
      </c>
      <c r="C11">
        <v>28</v>
      </c>
      <c r="D11">
        <v>7380</v>
      </c>
      <c r="E11">
        <v>6460</v>
      </c>
    </row>
    <row r="12" spans="1:5">
      <c r="A12" t="s">
        <v>39</v>
      </c>
      <c r="B12" s="5">
        <v>41275</v>
      </c>
      <c r="C12">
        <v>28</v>
      </c>
      <c r="D12">
        <v>7380</v>
      </c>
      <c r="E12">
        <v>6460</v>
      </c>
    </row>
    <row r="13" spans="1:5">
      <c r="A13" t="s">
        <v>39</v>
      </c>
      <c r="B13" s="5">
        <v>41306</v>
      </c>
      <c r="C13">
        <v>28</v>
      </c>
      <c r="D13">
        <v>7380</v>
      </c>
      <c r="E13">
        <v>6460</v>
      </c>
    </row>
    <row r="14" spans="1:5">
      <c r="A14" t="s">
        <v>39</v>
      </c>
      <c r="B14" s="5">
        <v>41640</v>
      </c>
      <c r="C14">
        <v>28</v>
      </c>
      <c r="D14">
        <v>7380</v>
      </c>
      <c r="E14">
        <v>6460</v>
      </c>
    </row>
    <row r="15" spans="1:5">
      <c r="A15" t="s">
        <v>39</v>
      </c>
      <c r="B15" s="5">
        <v>42005</v>
      </c>
      <c r="C15">
        <v>28</v>
      </c>
      <c r="D15">
        <v>7380</v>
      </c>
      <c r="E15">
        <v>6460</v>
      </c>
    </row>
    <row r="16" spans="1:5">
      <c r="A16" t="s">
        <v>39</v>
      </c>
      <c r="B16" s="5">
        <v>42370</v>
      </c>
      <c r="C16">
        <v>28</v>
      </c>
      <c r="D16">
        <v>7380</v>
      </c>
      <c r="E16">
        <v>6460</v>
      </c>
    </row>
    <row r="17" spans="1:5">
      <c r="A17" t="s">
        <v>39</v>
      </c>
      <c r="B17" s="5">
        <v>42736</v>
      </c>
      <c r="C17">
        <v>28</v>
      </c>
      <c r="D17">
        <v>7380</v>
      </c>
      <c r="E17">
        <v>6460</v>
      </c>
    </row>
    <row r="18" spans="1:5">
      <c r="A18" t="s">
        <v>39</v>
      </c>
      <c r="B18" s="5">
        <v>43101</v>
      </c>
      <c r="C18">
        <v>28</v>
      </c>
      <c r="D18">
        <v>7380</v>
      </c>
      <c r="E18">
        <v>6460</v>
      </c>
    </row>
    <row r="19" spans="1:5">
      <c r="A19" t="s">
        <v>39</v>
      </c>
      <c r="B19" s="5">
        <v>43466</v>
      </c>
      <c r="C19">
        <v>28</v>
      </c>
      <c r="D19">
        <v>7380</v>
      </c>
      <c r="E19">
        <v>6460</v>
      </c>
    </row>
    <row r="20" spans="1:5">
      <c r="A20" t="s">
        <v>39</v>
      </c>
      <c r="B20" s="5">
        <v>43831</v>
      </c>
      <c r="C20">
        <v>28</v>
      </c>
      <c r="D20">
        <v>7380</v>
      </c>
      <c r="E20">
        <v>6460</v>
      </c>
    </row>
    <row r="21" spans="1:5">
      <c r="A21" t="s">
        <v>39</v>
      </c>
      <c r="B21" s="5">
        <v>44197</v>
      </c>
      <c r="C21">
        <v>28</v>
      </c>
      <c r="D21">
        <v>7380</v>
      </c>
      <c r="E21">
        <v>6460</v>
      </c>
    </row>
    <row r="22" spans="1:5">
      <c r="A22" t="s">
        <v>45</v>
      </c>
      <c r="B22" s="5">
        <v>42370</v>
      </c>
      <c r="C22">
        <v>28</v>
      </c>
      <c r="D22">
        <v>7380</v>
      </c>
      <c r="E22">
        <v>6460</v>
      </c>
    </row>
    <row r="23" spans="1:5">
      <c r="A23" t="s">
        <v>45</v>
      </c>
      <c r="B23" s="5">
        <v>42736</v>
      </c>
      <c r="C23">
        <v>28</v>
      </c>
      <c r="D23">
        <v>7380</v>
      </c>
      <c r="E23">
        <v>6460</v>
      </c>
    </row>
    <row r="24" spans="1:5">
      <c r="A24" t="s">
        <v>45</v>
      </c>
      <c r="B24" s="5">
        <v>43101</v>
      </c>
      <c r="C24">
        <v>28</v>
      </c>
      <c r="D24">
        <v>7380</v>
      </c>
      <c r="E24">
        <v>6460</v>
      </c>
    </row>
    <row r="25" spans="1:5">
      <c r="A25" t="s">
        <v>45</v>
      </c>
      <c r="B25" s="5">
        <v>43466</v>
      </c>
      <c r="C25">
        <v>28</v>
      </c>
      <c r="D25">
        <v>7380</v>
      </c>
      <c r="E25">
        <v>6460</v>
      </c>
    </row>
    <row r="26" spans="1:5">
      <c r="A26" t="s">
        <v>45</v>
      </c>
      <c r="B26" s="5">
        <v>43831</v>
      </c>
      <c r="C26">
        <v>28</v>
      </c>
      <c r="D26">
        <v>7380</v>
      </c>
      <c r="E26">
        <v>6460</v>
      </c>
    </row>
    <row r="27" spans="1:5">
      <c r="A27" t="s">
        <v>45</v>
      </c>
      <c r="B27" s="5">
        <v>44197</v>
      </c>
      <c r="C27">
        <v>28</v>
      </c>
      <c r="D27">
        <v>7380</v>
      </c>
      <c r="E27">
        <v>6460</v>
      </c>
    </row>
    <row r="28" spans="1:5">
      <c r="A28" t="s">
        <v>48</v>
      </c>
      <c r="B28" s="5">
        <v>42736</v>
      </c>
      <c r="C28">
        <v>28</v>
      </c>
      <c r="D28">
        <v>7380</v>
      </c>
      <c r="E28">
        <v>6460</v>
      </c>
    </row>
    <row r="29" spans="1:5">
      <c r="A29" t="s">
        <v>48</v>
      </c>
      <c r="B29" s="5">
        <v>43101</v>
      </c>
      <c r="C29">
        <v>28</v>
      </c>
      <c r="D29">
        <v>7380</v>
      </c>
      <c r="E29">
        <v>6460</v>
      </c>
    </row>
    <row r="30" spans="1:5">
      <c r="A30" t="s">
        <v>48</v>
      </c>
      <c r="B30" s="5">
        <v>43466</v>
      </c>
      <c r="C30">
        <v>28</v>
      </c>
      <c r="D30">
        <v>7380</v>
      </c>
      <c r="E30">
        <v>6460</v>
      </c>
    </row>
    <row r="31" spans="1:5">
      <c r="A31" t="s">
        <v>48</v>
      </c>
      <c r="B31" s="5">
        <v>43831</v>
      </c>
      <c r="C31">
        <v>28</v>
      </c>
      <c r="D31">
        <v>7380</v>
      </c>
      <c r="E31">
        <v>6460</v>
      </c>
    </row>
    <row r="32" spans="1:5">
      <c r="A32" t="s">
        <v>48</v>
      </c>
      <c r="B32" s="5">
        <v>44197</v>
      </c>
      <c r="C32">
        <v>28</v>
      </c>
      <c r="D32">
        <v>7380</v>
      </c>
      <c r="E32">
        <v>6460</v>
      </c>
    </row>
    <row r="33" spans="1:5">
      <c r="A33" t="s">
        <v>55</v>
      </c>
      <c r="B33" s="5">
        <v>43101</v>
      </c>
      <c r="C33">
        <v>28</v>
      </c>
      <c r="D33">
        <v>7380</v>
      </c>
      <c r="E33">
        <v>6460</v>
      </c>
    </row>
    <row r="34" spans="1:5">
      <c r="A34" t="s">
        <v>55</v>
      </c>
      <c r="B34" s="5">
        <v>43466</v>
      </c>
      <c r="C34">
        <v>28</v>
      </c>
      <c r="D34">
        <v>7380</v>
      </c>
      <c r="E34">
        <v>6460</v>
      </c>
    </row>
    <row r="35" spans="1:5">
      <c r="A35" t="s">
        <v>55</v>
      </c>
      <c r="B35" s="5">
        <v>43831</v>
      </c>
      <c r="C35">
        <v>28</v>
      </c>
      <c r="D35">
        <v>7380</v>
      </c>
      <c r="E35">
        <v>6460</v>
      </c>
    </row>
    <row r="36" spans="1:5">
      <c r="A36" t="s">
        <v>55</v>
      </c>
      <c r="B36" s="5">
        <v>44197</v>
      </c>
      <c r="C36">
        <v>28</v>
      </c>
      <c r="D36">
        <v>7380</v>
      </c>
      <c r="E36">
        <v>6460</v>
      </c>
    </row>
    <row r="37" spans="1:5">
      <c r="A37" t="s">
        <v>52</v>
      </c>
      <c r="B37" s="5">
        <v>44197</v>
      </c>
      <c r="C37">
        <v>28</v>
      </c>
      <c r="D37">
        <v>7380</v>
      </c>
      <c r="E37">
        <v>6460</v>
      </c>
    </row>
    <row r="38" spans="1:5">
      <c r="A38" t="s">
        <v>43</v>
      </c>
      <c r="B38" s="5">
        <v>42736</v>
      </c>
      <c r="C38">
        <v>24</v>
      </c>
      <c r="D38">
        <v>4850</v>
      </c>
      <c r="E38">
        <v>3730</v>
      </c>
    </row>
    <row r="39" spans="1:5">
      <c r="A39" t="s">
        <v>43</v>
      </c>
      <c r="B39" s="5">
        <v>43101</v>
      </c>
      <c r="C39">
        <v>24</v>
      </c>
      <c r="D39">
        <v>4850</v>
      </c>
      <c r="E39">
        <v>3730</v>
      </c>
    </row>
    <row r="40" spans="1:5">
      <c r="A40" t="s">
        <v>43</v>
      </c>
      <c r="B40" s="5">
        <v>43466</v>
      </c>
      <c r="C40">
        <v>24</v>
      </c>
      <c r="D40">
        <v>4850</v>
      </c>
      <c r="E40">
        <v>3730</v>
      </c>
    </row>
    <row r="41" spans="1:5">
      <c r="A41" t="s">
        <v>43</v>
      </c>
      <c r="B41" s="5">
        <v>43831</v>
      </c>
      <c r="C41">
        <v>24</v>
      </c>
      <c r="D41">
        <v>4850</v>
      </c>
      <c r="E41">
        <v>3730</v>
      </c>
    </row>
    <row r="42" spans="1:5">
      <c r="A42" t="s">
        <v>43</v>
      </c>
      <c r="B42" s="5">
        <v>44197</v>
      </c>
      <c r="C42">
        <v>24</v>
      </c>
      <c r="D42">
        <v>4850</v>
      </c>
      <c r="E42">
        <v>3730</v>
      </c>
    </row>
    <row r="43" spans="1:5">
      <c r="A43" t="s">
        <v>59</v>
      </c>
      <c r="B43" s="5">
        <v>43831</v>
      </c>
      <c r="C43">
        <v>24</v>
      </c>
      <c r="D43">
        <v>4850</v>
      </c>
      <c r="E43">
        <v>3730</v>
      </c>
    </row>
    <row r="44" spans="1:5">
      <c r="A44" t="s">
        <v>59</v>
      </c>
      <c r="B44" s="5">
        <v>44197</v>
      </c>
      <c r="C44">
        <v>24</v>
      </c>
      <c r="D44">
        <v>4850</v>
      </c>
      <c r="E44">
        <v>3730</v>
      </c>
    </row>
    <row r="45" spans="1:5">
      <c r="A45" t="s">
        <v>51</v>
      </c>
      <c r="B45" s="5">
        <v>44197</v>
      </c>
      <c r="C45">
        <v>24</v>
      </c>
      <c r="D45">
        <v>4850</v>
      </c>
      <c r="E45">
        <v>3730</v>
      </c>
    </row>
    <row r="46" spans="1:5">
      <c r="A46" t="s">
        <v>44</v>
      </c>
      <c r="B46" s="5">
        <v>42736</v>
      </c>
      <c r="C46">
        <v>24</v>
      </c>
      <c r="D46">
        <v>4850</v>
      </c>
      <c r="E46">
        <v>3730</v>
      </c>
    </row>
    <row r="47" spans="1:5">
      <c r="A47" t="s">
        <v>44</v>
      </c>
      <c r="B47" s="5">
        <v>43101</v>
      </c>
      <c r="C47">
        <v>24</v>
      </c>
      <c r="D47">
        <v>4850</v>
      </c>
      <c r="E47">
        <v>3730</v>
      </c>
    </row>
    <row r="48" spans="1:5">
      <c r="A48" t="s">
        <v>44</v>
      </c>
      <c r="B48" s="5">
        <v>43466</v>
      </c>
      <c r="C48">
        <v>24</v>
      </c>
      <c r="D48">
        <v>4850</v>
      </c>
      <c r="E48">
        <v>3730</v>
      </c>
    </row>
    <row r="49" spans="1:5">
      <c r="A49" t="s">
        <v>44</v>
      </c>
      <c r="B49" s="5">
        <v>43831</v>
      </c>
      <c r="C49">
        <v>24</v>
      </c>
      <c r="D49">
        <v>4850</v>
      </c>
      <c r="E49">
        <v>3730</v>
      </c>
    </row>
    <row r="50" spans="1:5">
      <c r="A50" t="s">
        <v>44</v>
      </c>
      <c r="B50" s="5">
        <v>44197</v>
      </c>
      <c r="C50">
        <v>24</v>
      </c>
      <c r="D50">
        <v>4850</v>
      </c>
      <c r="E50">
        <v>3730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4F1ECC6B2649324CB24C079D2C04510D" ma:contentTypeVersion="57" ma:contentTypeDescription="Create a new document." ma:contentTypeScope="" ma:versionID="fdb4dd73321d822492c182e4485d4497">
  <xsd:schema xmlns:xsd="http://www.w3.org/2001/XMLSchema" xmlns:xs="http://www.w3.org/2001/XMLSchema" xmlns:p="http://schemas.microsoft.com/office/2006/metadata/properties" xmlns:ns2="65551c38-962b-4cee-924d-ef2df1bb8b98" xmlns:ns3="ec750ee3-7d64-422f-9b1f-0ca7238893a8" xmlns:ns4="4f9c820c-e7e2-444d-97ee-45f2b3485c1d" xmlns:ns5="15ffb055-6eb4-45a1-bc20-bf2ac0d420da" xmlns:ns6="725c79e5-42ce-4aa0-ac78-b6418001f0d2" xmlns:ns7="c91a514c-9034-4fa3-897a-8352025b26ed" targetNamespace="http://schemas.microsoft.com/office/2006/metadata/properties" ma:root="true" ma:fieldsID="71f32cedb21a69b7c21921a0429f953f" ns2:_="" ns3:_="" ns4:_="" ns5:_="" ns6:_="" ns7:_="">
    <xsd:import namespace="65551c38-962b-4cee-924d-ef2df1bb8b98"/>
    <xsd:import namespace="ec750ee3-7d64-422f-9b1f-0ca7238893a8"/>
    <xsd:import namespace="4f9c820c-e7e2-444d-97ee-45f2b3485c1d"/>
    <xsd:import namespace="15ffb055-6eb4-45a1-bc20-bf2ac0d420da"/>
    <xsd:import namespace="725c79e5-42ce-4aa0-ac78-b6418001f0d2"/>
    <xsd:import namespace="c91a514c-9034-4fa3-897a-8352025b2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dat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4:DocumentType" minOccurs="0"/>
                <xsd:element ref="ns5:KeyWords" minOccurs="0"/>
                <xsd:element ref="ns4:Narrative" minOccurs="0"/>
                <xsd:element ref="ns5:SecurityClassification" minOccurs="0"/>
                <xsd:element ref="ns4:Subactivity" minOccurs="0"/>
                <xsd:element ref="ns4:Case" minOccurs="0"/>
                <xsd:element ref="ns4:RelatedPeople" minOccurs="0"/>
                <xsd:element ref="ns4:CategoryName" minOccurs="0"/>
                <xsd:element ref="ns4:CategoryValue" minOccurs="0"/>
                <xsd:element ref="ns4:BusinessValue" minOccurs="0"/>
                <xsd:element ref="ns4:FunctionGroup" minOccurs="0"/>
                <xsd:element ref="ns4:Function" minOccurs="0"/>
                <xsd:element ref="ns4:PRAType" minOccurs="0"/>
                <xsd:element ref="ns4:PRADate1" minOccurs="0"/>
                <xsd:element ref="ns4:PRADate2" minOccurs="0"/>
                <xsd:element ref="ns4:PRADate3" minOccurs="0"/>
                <xsd:element ref="ns4:PRADateDisposal" minOccurs="0"/>
                <xsd:element ref="ns4:PRADateTrigger" minOccurs="0"/>
                <xsd:element ref="ns4:PRAText1" minOccurs="0"/>
                <xsd:element ref="ns4:PRAText2" minOccurs="0"/>
                <xsd:element ref="ns4:PRAText3" minOccurs="0"/>
                <xsd:element ref="ns4:PRAText4" minOccurs="0"/>
                <xsd:element ref="ns4:PRAText5" minOccurs="0"/>
                <xsd:element ref="ns4:AggregationStatus" minOccurs="0"/>
                <xsd:element ref="ns4:Project" minOccurs="0"/>
                <xsd:element ref="ns4:Activity" minOccurs="0"/>
                <xsd:element ref="ns6:AggregationNarrative" minOccurs="0"/>
                <xsd:element ref="ns7:Channel" minOccurs="0"/>
                <xsd:element ref="ns7:Team" minOccurs="0"/>
                <xsd:element ref="ns7:Level2" minOccurs="0"/>
                <xsd:element ref="ns7:Level3" minOccurs="0"/>
                <xsd:element ref="ns7:Yea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51c38-962b-4cee-924d-ef2df1bb8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0" nillable="true" ma:displayName="date" ma:format="DateTime" ma:internalName="date">
      <xsd:simpleType>
        <xsd:restriction base="dms:DateTim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7adadd0-3cd1-47f6-acfa-f6b6a774c7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5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50ee3-7d64-422f-9b1f-0ca723889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16dec42-9700-4b76-91cb-52a2f3d81d3c}" ma:internalName="TaxCatchAll" ma:showField="CatchAllData" ma:web="ec750ee3-7d64-422f-9b1f-0ca723889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c820c-e7e2-444d-97ee-45f2b3485c1d" elementFormDefault="qualified">
    <xsd:import namespace="http://schemas.microsoft.com/office/2006/documentManagement/types"/>
    <xsd:import namespace="http://schemas.microsoft.com/office/infopath/2007/PartnerControls"/>
    <xsd:element name="DocumentType" ma:index="26" nillable="true" ma:displayName="Document Type" ma:format="Dropdown" ma:hidden="true" ma:internalName="DocumentType" ma:readOnly="false">
      <xsd:simpleType>
        <xsd:restriction base="dms:Choice">
          <xsd:enumeration value="APPLICATION, certificate, consent related"/>
          <xsd:enumeration value="CONTRACT, Variation, Agreement"/>
          <xsd:enumeration value="CORRESPONDENCE"/>
          <xsd:enumeration value="DRAWING, Plan, Map"/>
          <xsd:enumeration value="EMPLOYMENT related"/>
          <xsd:enumeration value="FINANCIAL related"/>
          <xsd:enumeration value="KNOWLEDGE article"/>
          <xsd:enumeration value="MEETING related"/>
          <xsd:enumeration value="MEMO, Filenote, Email"/>
          <xsd:enumeration value="MODEL, Calculation, Working"/>
          <xsd:enumeration value="PHOTO, Image or Multi-media"/>
          <xsd:enumeration value="PRESENTATION"/>
          <xsd:enumeration value="PUBLICATION material"/>
          <xsd:enumeration value="PURCHASING related"/>
          <xsd:enumeration value="REPORT, or planning related"/>
          <xsd:enumeration value="RULES, Policy, Bylaw, procedure"/>
          <xsd:enumeration value="SERVICE REQUEST related"/>
          <xsd:enumeration value="SPECIFICATION or standard"/>
          <xsd:enumeration value="SUPPLIER PRODUCT Info"/>
          <xsd:enumeration value="TEMPLATE, Checklist or Form"/>
        </xsd:restriction>
      </xsd:simpleType>
    </xsd:element>
    <xsd:element name="Narrative" ma:index="28" nillable="true" ma:displayName="Narrative" ma:hidden="true" ma:internalName="Narrative" ma:readOnly="false">
      <xsd:simpleType>
        <xsd:restriction base="dms:Note"/>
      </xsd:simpleType>
    </xsd:element>
    <xsd:element name="Subactivity" ma:index="30" nillable="true" ma:displayName="Subactivity" ma:default="" ma:hidden="true" ma:internalName="Subactivity" ma:readOnly="false">
      <xsd:simpleType>
        <xsd:restriction base="dms:Text">
          <xsd:maxLength value="255"/>
        </xsd:restriction>
      </xsd:simpleType>
    </xsd:element>
    <xsd:element name="Case" ma:index="31" nillable="true" ma:displayName="Case" ma:default="NA" ma:hidden="true" ma:internalName="Case" ma:readOnly="false">
      <xsd:simpleType>
        <xsd:restriction base="dms:Text">
          <xsd:maxLength value="255"/>
        </xsd:restriction>
      </xsd:simpleType>
    </xsd:element>
    <xsd:element name="RelatedPeople" ma:index="32" nillable="true" ma:displayName="Related People" ma:hidden="true" ma:list="UserInfo" ma:SharePointGroup="0" ma:internalName="RelatedPeople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Name" ma:index="33" nillable="true" ma:displayName="Category 1" ma:default="NA" ma:hidden="true" ma:internalName="CategoryName" ma:readOnly="false">
      <xsd:simpleType>
        <xsd:restriction base="dms:Text">
          <xsd:maxLength value="255"/>
        </xsd:restriction>
      </xsd:simpleType>
    </xsd:element>
    <xsd:element name="CategoryValue" ma:index="34" nillable="true" ma:displayName="Category 2" ma:default="NA" ma:hidden="true" ma:internalName="CategoryValue" ma:readOnly="false">
      <xsd:simpleType>
        <xsd:restriction base="dms:Text">
          <xsd:maxLength value="255"/>
        </xsd:restriction>
      </xsd:simpleType>
    </xsd:element>
    <xsd:element name="BusinessValue" ma:index="35" nillable="true" ma:displayName="Business Value" ma:hidden="true" ma:internalName="BusinessValue" ma:readOnly="false">
      <xsd:simpleType>
        <xsd:restriction base="dms:Text">
          <xsd:maxLength value="255"/>
        </xsd:restriction>
      </xsd:simpleType>
    </xsd:element>
    <xsd:element name="FunctionGroup" ma:index="36" nillable="true" ma:displayName="Function Group" ma:default="NA" ma:hidden="true" ma:internalName="FunctionGroup" ma:readOnly="false">
      <xsd:simpleType>
        <xsd:restriction base="dms:Text">
          <xsd:maxLength value="255"/>
        </xsd:restriction>
      </xsd:simpleType>
    </xsd:element>
    <xsd:element name="Function" ma:index="37" nillable="true" ma:displayName="Function" ma:default="Athletes and Programmes" ma:hidden="true" ma:internalName="Function" ma:readOnly="false">
      <xsd:simpleType>
        <xsd:restriction base="dms:Text">
          <xsd:maxLength value="255"/>
        </xsd:restriction>
      </xsd:simpleType>
    </xsd:element>
    <xsd:element name="PRAType" ma:index="38" nillable="true" ma:displayName="PRA Type" ma:default="Doc" ma:hidden="true" ma:indexed="true" ma:internalName="PRAType">
      <xsd:simpleType>
        <xsd:restriction base="dms:Text">
          <xsd:maxLength value="255"/>
        </xsd:restriction>
      </xsd:simpleType>
    </xsd:element>
    <xsd:element name="PRADate1" ma:index="39" nillable="true" ma:displayName="PRA Date 1" ma:format="DateOnly" ma:hidden="true" ma:internalName="PRADate1" ma:readOnly="false">
      <xsd:simpleType>
        <xsd:restriction base="dms:DateTime"/>
      </xsd:simpleType>
    </xsd:element>
    <xsd:element name="PRADate2" ma:index="40" nillable="true" ma:displayName="PRA Date 2" ma:format="DateOnly" ma:hidden="true" ma:internalName="PRADate2" ma:readOnly="false">
      <xsd:simpleType>
        <xsd:restriction base="dms:DateTime"/>
      </xsd:simpleType>
    </xsd:element>
    <xsd:element name="PRADate3" ma:index="41" nillable="true" ma:displayName="PRA Date 3" ma:format="DateOnly" ma:hidden="true" ma:internalName="PRADate3" ma:readOnly="false">
      <xsd:simpleType>
        <xsd:restriction base="dms:DateTime"/>
      </xsd:simpleType>
    </xsd:element>
    <xsd:element name="PRADateDisposal" ma:index="42" nillable="true" ma:displayName="PRA Date Disposal" ma:format="DateOnly" ma:hidden="true" ma:internalName="PRADateDisposal" ma:readOnly="false">
      <xsd:simpleType>
        <xsd:restriction base="dms:DateTime"/>
      </xsd:simpleType>
    </xsd:element>
    <xsd:element name="PRADateTrigger" ma:index="43" nillable="true" ma:displayName="PRA Date Trigger" ma:format="DateOnly" ma:hidden="true" ma:internalName="PRADateTrigger" ma:readOnly="false">
      <xsd:simpleType>
        <xsd:restriction base="dms:DateTime"/>
      </xsd:simpleType>
    </xsd:element>
    <xsd:element name="PRAText1" ma:index="44" nillable="true" ma:displayName="PRA Text 1" ma:hidden="true" ma:internalName="PRAText1" ma:readOnly="false">
      <xsd:simpleType>
        <xsd:restriction base="dms:Text">
          <xsd:maxLength value="255"/>
        </xsd:restriction>
      </xsd:simpleType>
    </xsd:element>
    <xsd:element name="PRAText2" ma:index="45" nillable="true" ma:displayName="PRA Text 2" ma:hidden="true" ma:internalName="PRAText2" ma:readOnly="false">
      <xsd:simpleType>
        <xsd:restriction base="dms:Text">
          <xsd:maxLength value="255"/>
        </xsd:restriction>
      </xsd:simpleType>
    </xsd:element>
    <xsd:element name="PRAText3" ma:index="46" nillable="true" ma:displayName="PRA Text 3" ma:hidden="true" ma:internalName="PRAText3" ma:readOnly="false">
      <xsd:simpleType>
        <xsd:restriction base="dms:Text">
          <xsd:maxLength value="255"/>
        </xsd:restriction>
      </xsd:simpleType>
    </xsd:element>
    <xsd:element name="PRAText4" ma:index="47" nillable="true" ma:displayName="PRA Text 4" ma:hidden="true" ma:internalName="PRAText4" ma:readOnly="false">
      <xsd:simpleType>
        <xsd:restriction base="dms:Text">
          <xsd:maxLength value="255"/>
        </xsd:restriction>
      </xsd:simpleType>
    </xsd:element>
    <xsd:element name="PRAText5" ma:index="48" nillable="true" ma:displayName="PRA Text 5" ma:hidden="true" ma:internalName="PRAText5" ma:readOnly="false">
      <xsd:simpleType>
        <xsd:restriction base="dms:Text">
          <xsd:maxLength value="255"/>
        </xsd:restriction>
      </xsd:simpleType>
    </xsd:element>
    <xsd:element name="AggregationStatus" ma:index="49" nillable="true" ma:displayName="Aggregation Status" ma:default="Normal" ma:format="Dropdown" ma:hidden="true" ma:internalName="AggregationStatus" ma:readOnly="false">
      <xsd:simpleType>
        <xsd:union memberTypes="dms:Text">
          <xsd:simpleType>
            <xsd:restriction base="dms:Choice">
              <xsd:enumeration value="Delete Soon"/>
              <xsd:enumeration value="Transfer Soon"/>
              <xsd:enumeration value="Appraise Soon"/>
              <xsd:enumeration value="Delete"/>
              <xsd:enumeration value="Transfer"/>
              <xsd:enumeration value="Appraise"/>
              <xsd:enumeration value="Hold"/>
              <xsd:enumeration value="Normal"/>
              <xsd:enumeration value="Archive"/>
            </xsd:restriction>
          </xsd:simpleType>
        </xsd:union>
      </xsd:simpleType>
    </xsd:element>
    <xsd:element name="Project" ma:index="50" nillable="true" ma:displayName="Project" ma:default="NA" ma:hidden="true" ma:internalName="Project" ma:readOnly="false">
      <xsd:simpleType>
        <xsd:restriction base="dms:Text">
          <xsd:maxLength value="255"/>
        </xsd:restriction>
      </xsd:simpleType>
    </xsd:element>
    <xsd:element name="Activity" ma:index="51" nillable="true" ma:displayName="Activity" ma:default="Programmes" ma:hidden="true" ma:internalName="Activity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b055-6eb4-45a1-bc20-bf2ac0d420da" elementFormDefault="qualified">
    <xsd:import namespace="http://schemas.microsoft.com/office/2006/documentManagement/types"/>
    <xsd:import namespace="http://schemas.microsoft.com/office/infopath/2007/PartnerControls"/>
    <xsd:element name="KeyWords" ma:index="27" nillable="true" ma:displayName="Key Words" ma:hidden="true" ma:internalName="KeyWords" ma:readOnly="false">
      <xsd:simpleType>
        <xsd:restriction base="dms:Note"/>
      </xsd:simpleType>
    </xsd:element>
    <xsd:element name="SecurityClassification" ma:index="29" nillable="true" ma:displayName="Security Classification" ma:format="Dropdown" ma:hidden="true" ma:internalName="SecurityClassification" ma:readOnly="false">
      <xsd:simpleType>
        <xsd:restriction base="dms:Choice">
          <xsd:enumeration value="Confidential"/>
          <xsd:enumeration value="Restricted"/>
          <xsd:enumeration value="Unrestric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79e5-42ce-4aa0-ac78-b6418001f0d2" elementFormDefault="qualified">
    <xsd:import namespace="http://schemas.microsoft.com/office/2006/documentManagement/types"/>
    <xsd:import namespace="http://schemas.microsoft.com/office/infopath/2007/PartnerControls"/>
    <xsd:element name="AggregationNarrative" ma:index="52" nillable="true" ma:displayName="Aggregation Narrative" ma:hidden="true" ma:internalName="AggregationNarrative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a514c-9034-4fa3-897a-8352025b26ed" elementFormDefault="qualified">
    <xsd:import namespace="http://schemas.microsoft.com/office/2006/documentManagement/types"/>
    <xsd:import namespace="http://schemas.microsoft.com/office/infopath/2007/PartnerControls"/>
    <xsd:element name="Channel" ma:index="53" nillable="true" ma:displayName="Channel" ma:default="NA" ma:hidden="true" ma:internalName="Channel" ma:readOnly="false">
      <xsd:simpleType>
        <xsd:restriction base="dms:Text">
          <xsd:maxLength value="255"/>
        </xsd:restriction>
      </xsd:simpleType>
    </xsd:element>
    <xsd:element name="Team" ma:index="54" nillable="true" ma:displayName="Team" ma:default="NA" ma:hidden="true" ma:internalName="Team" ma:readOnly="false">
      <xsd:simpleType>
        <xsd:restriction base="dms:Text">
          <xsd:maxLength value="255"/>
        </xsd:restriction>
      </xsd:simpleType>
    </xsd:element>
    <xsd:element name="Level2" ma:index="55" nillable="true" ma:displayName="Level2" ma:default="NA" ma:hidden="true" ma:internalName="Level2" ma:readOnly="false">
      <xsd:simpleType>
        <xsd:restriction base="dms:Text">
          <xsd:maxLength value="255"/>
        </xsd:restriction>
      </xsd:simpleType>
    </xsd:element>
    <xsd:element name="Level3" ma:index="56" nillable="true" ma:displayName="Level3" ma:hidden="true" ma:internalName="Level3" ma:readOnly="false">
      <xsd:simpleType>
        <xsd:restriction base="dms:Text">
          <xsd:maxLength value="255"/>
        </xsd:restriction>
      </xsd:simpleType>
    </xsd:element>
    <xsd:element name="Year" ma:index="57" nillable="true" ma:displayName="Year" ma:default="NA" ma:hidden="true" ma:internalName="Year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65551c38-962b-4cee-924d-ef2df1bb8b98" xsi:nil="true"/>
    <TaxCatchAll xmlns="ec750ee3-7d64-422f-9b1f-0ca7238893a8" xsi:nil="true"/>
    <lcf76f155ced4ddcb4097134ff3c332f xmlns="65551c38-962b-4cee-924d-ef2df1bb8b98">
      <Terms xmlns="http://schemas.microsoft.com/office/infopath/2007/PartnerControls"/>
    </lcf76f155ced4ddcb4097134ff3c332f>
    <Subactivity xmlns="4f9c820c-e7e2-444d-97ee-45f2b3485c1d" xsi:nil="true"/>
    <BusinessValue xmlns="4f9c820c-e7e2-444d-97ee-45f2b3485c1d" xsi:nil="true"/>
    <PRADateDisposal xmlns="4f9c820c-e7e2-444d-97ee-45f2b3485c1d" xsi:nil="true"/>
    <KeyWords xmlns="15ffb055-6eb4-45a1-bc20-bf2ac0d420da" xsi:nil="true"/>
    <SecurityClassification xmlns="15ffb055-6eb4-45a1-bc20-bf2ac0d420da" xsi:nil="true"/>
    <PRADate3 xmlns="4f9c820c-e7e2-444d-97ee-45f2b3485c1d" xsi:nil="true"/>
    <PRAText5 xmlns="4f9c820c-e7e2-444d-97ee-45f2b3485c1d" xsi:nil="true"/>
    <Level2 xmlns="c91a514c-9034-4fa3-897a-8352025b26ed">NA</Level2>
    <Activity xmlns="4f9c820c-e7e2-444d-97ee-45f2b3485c1d">Programmes</Activity>
    <AggregationStatus xmlns="4f9c820c-e7e2-444d-97ee-45f2b3485c1d">Normal</AggregationStatus>
    <CategoryValue xmlns="4f9c820c-e7e2-444d-97ee-45f2b3485c1d">NA</CategoryValue>
    <PRADate2 xmlns="4f9c820c-e7e2-444d-97ee-45f2b3485c1d" xsi:nil="true"/>
    <Case xmlns="4f9c820c-e7e2-444d-97ee-45f2b3485c1d">NA</Case>
    <PRAText1 xmlns="4f9c820c-e7e2-444d-97ee-45f2b3485c1d" xsi:nil="true"/>
    <PRAText4 xmlns="4f9c820c-e7e2-444d-97ee-45f2b3485c1d" xsi:nil="true"/>
    <Level3 xmlns="c91a514c-9034-4fa3-897a-8352025b26ed" xsi:nil="true"/>
    <Team xmlns="c91a514c-9034-4fa3-897a-8352025b26ed">NA</Team>
    <Project xmlns="4f9c820c-e7e2-444d-97ee-45f2b3485c1d">NA</Project>
    <FunctionGroup xmlns="4f9c820c-e7e2-444d-97ee-45f2b3485c1d">NA</FunctionGroup>
    <Function xmlns="4f9c820c-e7e2-444d-97ee-45f2b3485c1d">Athletes and Programmes</Function>
    <RelatedPeople xmlns="4f9c820c-e7e2-444d-97ee-45f2b3485c1d">
      <UserInfo>
        <DisplayName/>
        <AccountId xsi:nil="true"/>
        <AccountType/>
      </UserInfo>
    </RelatedPeople>
    <AggregationNarrative xmlns="725c79e5-42ce-4aa0-ac78-b6418001f0d2" xsi:nil="true"/>
    <Channel xmlns="c91a514c-9034-4fa3-897a-8352025b26ed">NA</Channel>
    <PRAType xmlns="4f9c820c-e7e2-444d-97ee-45f2b3485c1d">Doc</PRAType>
    <PRADate1 xmlns="4f9c820c-e7e2-444d-97ee-45f2b3485c1d" xsi:nil="true"/>
    <DocumentType xmlns="4f9c820c-e7e2-444d-97ee-45f2b3485c1d" xsi:nil="true"/>
    <PRAText3 xmlns="4f9c820c-e7e2-444d-97ee-45f2b3485c1d" xsi:nil="true"/>
    <Year xmlns="c91a514c-9034-4fa3-897a-8352025b26ed">NA</Year>
    <Narrative xmlns="4f9c820c-e7e2-444d-97ee-45f2b3485c1d" xsi:nil="true"/>
    <CategoryName xmlns="4f9c820c-e7e2-444d-97ee-45f2b3485c1d">NA</CategoryName>
    <PRADateTrigger xmlns="4f9c820c-e7e2-444d-97ee-45f2b3485c1d" xsi:nil="true"/>
    <PRAText2 xmlns="4f9c820c-e7e2-444d-97ee-45f2b3485c1d" xsi:nil="true"/>
  </documentManagement>
</p:properties>
</file>

<file path=customXml/itemProps1.xml><?xml version="1.0" encoding="utf-8"?>
<ds:datastoreItem xmlns:ds="http://schemas.openxmlformats.org/officeDocument/2006/customXml" ds:itemID="{4F93F722-1C3D-452B-981E-68206FC063C5}"/>
</file>

<file path=customXml/itemProps2.xml><?xml version="1.0" encoding="utf-8"?>
<ds:datastoreItem xmlns:ds="http://schemas.openxmlformats.org/officeDocument/2006/customXml" ds:itemID="{B77DDCC6-629E-4EBB-A9A0-9A2D588B12B8}"/>
</file>

<file path=customXml/itemProps3.xml><?xml version="1.0" encoding="utf-8"?>
<ds:datastoreItem xmlns:ds="http://schemas.openxmlformats.org/officeDocument/2006/customXml" ds:itemID="{3F1C66C9-1DC8-46F7-9F45-7A162BE3C4B3}"/>
</file>

<file path=docMetadata/LabelInfo.xml><?xml version="1.0" encoding="utf-8"?>
<clbl:labelList xmlns:clbl="http://schemas.microsoft.com/office/2020/mipLabelMetadata">
  <clbl:label id="{81d9517e-eb2e-4113-bf18-fcf3fc930962}" enabled="0" method="" siteId="{81d9517e-eb2e-4113-bf18-fcf3fc9309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jamiedo</dc:creator>
  <cp:keywords/>
  <dc:description/>
  <cp:lastModifiedBy>Sam Bremer</cp:lastModifiedBy>
  <cp:revision/>
  <dcterms:created xsi:type="dcterms:W3CDTF">2018-11-26T18:42:43Z</dcterms:created>
  <dcterms:modified xsi:type="dcterms:W3CDTF">2025-05-12T22:35:06Z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0x0101004F1ECC6B2649324CB24C079D2C04510D</vt:lpwstr>
  </property>
  <property fmtid="{D5CDD505-2E9C-101B-9397-08002B2CF9AE}" pid="3" name="MediaServiceImageTags">
    <vt:lpwstr/>
  </property>
</Properties>
</file>