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ortnzgroup-my.sharepoint.com/personal/anja_kuys_hpsnz_org_nz/Documents/Desktop/Scripts/CNZPD/pages/WR_progressions/Individual/"/>
    </mc:Choice>
  </mc:AlternateContent>
  <xr:revisionPtr revIDLastSave="1" documentId="13_ncr:1_{6755DFDD-117F-49AA-9509-215DAE43DDA3}" xr6:coauthVersionLast="47" xr6:coauthVersionMax="47" xr10:uidLastSave="{390739DF-9B25-45C9-9FF3-89F6499AC049}"/>
  <bookViews>
    <workbookView xWindow="-110" yWindow="-110" windowWidth="19420" windowHeight="11500" xr2:uid="{60BF7A36-0D27-46A2-BCFD-CC0E6E4E1F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D2" i="1"/>
  <c r="E2" i="1"/>
  <c r="F2" i="1"/>
  <c r="J2" i="1"/>
  <c r="K2" i="1"/>
  <c r="L2" i="1"/>
  <c r="S27" i="1"/>
  <c r="P3" i="1"/>
  <c r="F3" i="1"/>
  <c r="E3" i="1"/>
  <c r="D3" i="1"/>
  <c r="K3" i="1"/>
  <c r="L3" i="1"/>
  <c r="J3" i="1"/>
  <c r="G5" i="1"/>
  <c r="Q38" i="1"/>
  <c r="Q35" i="1"/>
  <c r="Q36" i="1"/>
  <c r="Q37" i="1"/>
  <c r="Q30" i="1"/>
  <c r="Q31" i="1"/>
  <c r="Q32" i="1"/>
  <c r="Q33" i="1"/>
  <c r="M30" i="1"/>
  <c r="N30" i="1"/>
  <c r="O30" i="1"/>
  <c r="M31" i="1"/>
  <c r="N31" i="1"/>
  <c r="O31" i="1"/>
  <c r="M32" i="1"/>
  <c r="N32" i="1"/>
  <c r="O32" i="1"/>
  <c r="M33" i="1"/>
  <c r="N33" i="1"/>
  <c r="O33" i="1"/>
  <c r="G35" i="1"/>
  <c r="H35" i="1"/>
  <c r="I35" i="1"/>
  <c r="G36" i="1"/>
  <c r="H36" i="1"/>
  <c r="G37" i="1"/>
  <c r="G38" i="1"/>
  <c r="H38" i="1"/>
  <c r="I38" i="1"/>
  <c r="G30" i="1"/>
  <c r="H30" i="1"/>
  <c r="I30" i="1"/>
  <c r="G31" i="1"/>
  <c r="H31" i="1"/>
  <c r="I31" i="1"/>
  <c r="G32" i="1"/>
  <c r="H32" i="1"/>
  <c r="I32" i="1"/>
  <c r="G33" i="1"/>
  <c r="H33" i="1"/>
  <c r="I33" i="1"/>
  <c r="Q25" i="1"/>
  <c r="Q26" i="1"/>
  <c r="Q27" i="1"/>
  <c r="Q28" i="1"/>
  <c r="M25" i="1"/>
  <c r="N25" i="1"/>
  <c r="O25" i="1"/>
  <c r="M26" i="1"/>
  <c r="N26" i="1"/>
  <c r="O26" i="1"/>
  <c r="M27" i="1"/>
  <c r="N27" i="1"/>
  <c r="O27" i="1"/>
  <c r="M28" i="1"/>
  <c r="N28" i="1"/>
  <c r="O28" i="1"/>
  <c r="G25" i="1"/>
  <c r="H25" i="1"/>
  <c r="I25" i="1"/>
  <c r="G26" i="1"/>
  <c r="H26" i="1"/>
  <c r="I26" i="1"/>
  <c r="G27" i="1"/>
  <c r="H27" i="1"/>
  <c r="I27" i="1"/>
  <c r="G28" i="1"/>
  <c r="H28" i="1"/>
  <c r="I28" i="1"/>
  <c r="M23" i="1"/>
  <c r="N23" i="1"/>
  <c r="O23" i="1"/>
  <c r="Q20" i="1"/>
  <c r="Q21" i="1"/>
  <c r="Q22" i="1"/>
  <c r="Q23" i="1"/>
  <c r="M20" i="1"/>
  <c r="N20" i="1"/>
  <c r="O20" i="1"/>
  <c r="M21" i="1"/>
  <c r="N21" i="1"/>
  <c r="O21" i="1"/>
  <c r="M22" i="1"/>
  <c r="N22" i="1"/>
  <c r="O22" i="1"/>
  <c r="G20" i="1"/>
  <c r="H20" i="1"/>
  <c r="I20" i="1"/>
  <c r="G21" i="1"/>
  <c r="H21" i="1"/>
  <c r="I21" i="1"/>
  <c r="G22" i="1"/>
  <c r="H22" i="1"/>
  <c r="I22" i="1"/>
  <c r="G23" i="1"/>
  <c r="H23" i="1"/>
  <c r="I23" i="1"/>
  <c r="G15" i="1"/>
  <c r="H15" i="1"/>
  <c r="I15" i="1"/>
  <c r="G16" i="1"/>
  <c r="H16" i="1"/>
  <c r="I16" i="1"/>
  <c r="G17" i="1"/>
  <c r="H17" i="1"/>
  <c r="I17" i="1"/>
  <c r="G18" i="1"/>
  <c r="H18" i="1"/>
  <c r="I18" i="1"/>
  <c r="Q15" i="1"/>
  <c r="Q16" i="1"/>
  <c r="Q17" i="1"/>
  <c r="Q18" i="1"/>
  <c r="M15" i="1"/>
  <c r="N15" i="1"/>
  <c r="O15" i="1"/>
  <c r="M16" i="1"/>
  <c r="N16" i="1"/>
  <c r="O16" i="1"/>
  <c r="M17" i="1"/>
  <c r="N17" i="1"/>
  <c r="O17" i="1"/>
  <c r="M18" i="1"/>
  <c r="N18" i="1"/>
  <c r="O18" i="1"/>
  <c r="Q12" i="1"/>
  <c r="Q13" i="1"/>
  <c r="M13" i="1"/>
  <c r="N13" i="1"/>
  <c r="O13" i="1"/>
  <c r="G13" i="1"/>
  <c r="H13" i="1"/>
  <c r="I13" i="1"/>
  <c r="M12" i="1"/>
  <c r="N12" i="1"/>
  <c r="O12" i="1"/>
  <c r="G12" i="1"/>
  <c r="H12" i="1"/>
  <c r="I12" i="1"/>
  <c r="Q11" i="1"/>
  <c r="I11" i="1"/>
  <c r="H11" i="1"/>
  <c r="O11" i="1"/>
  <c r="N11" i="1"/>
  <c r="M11" i="1"/>
  <c r="G11" i="1"/>
  <c r="Q10" i="1"/>
  <c r="I10" i="1"/>
  <c r="H10" i="1"/>
  <c r="G10" i="1"/>
  <c r="O10" i="1"/>
  <c r="N10" i="1"/>
  <c r="M10" i="1"/>
  <c r="M9" i="1"/>
  <c r="N9" i="1"/>
  <c r="O9" i="1"/>
  <c r="Q9" i="1"/>
  <c r="I9" i="1"/>
  <c r="H9" i="1"/>
  <c r="G9" i="1"/>
  <c r="M7" i="1" l="1"/>
  <c r="N7" i="1"/>
  <c r="O7" i="1"/>
  <c r="Q5" i="1"/>
  <c r="Q6" i="1"/>
  <c r="Q7" i="1"/>
  <c r="G7" i="1"/>
  <c r="H7" i="1"/>
  <c r="I7" i="1"/>
  <c r="I6" i="1"/>
  <c r="H6" i="1"/>
  <c r="G6" i="1"/>
  <c r="I5" i="1"/>
  <c r="H5" i="1"/>
  <c r="M6" i="1"/>
  <c r="N6" i="1"/>
  <c r="O6" i="1"/>
  <c r="M5" i="1"/>
  <c r="N5" i="1"/>
  <c r="O5" i="1"/>
  <c r="Q8" i="1"/>
  <c r="Q14" i="1"/>
  <c r="Q19" i="1"/>
  <c r="Q24" i="1"/>
  <c r="Q29" i="1"/>
  <c r="Q34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M8" i="1"/>
  <c r="N8" i="1"/>
  <c r="O8" i="1"/>
  <c r="M14" i="1"/>
  <c r="N14" i="1"/>
  <c r="O14" i="1"/>
  <c r="M19" i="1"/>
  <c r="N19" i="1"/>
  <c r="O19" i="1"/>
  <c r="M24" i="1"/>
  <c r="N24" i="1"/>
  <c r="O24" i="1"/>
  <c r="M29" i="1"/>
  <c r="N29" i="1"/>
  <c r="O29" i="1"/>
  <c r="M34" i="1"/>
  <c r="N34" i="1"/>
  <c r="O34" i="1"/>
  <c r="M39" i="1"/>
  <c r="N39" i="1"/>
  <c r="O39" i="1"/>
  <c r="M40" i="1"/>
  <c r="N40" i="1"/>
  <c r="O40" i="1"/>
  <c r="M41" i="1"/>
  <c r="N41" i="1"/>
  <c r="O41" i="1"/>
  <c r="M42" i="1"/>
  <c r="N42" i="1"/>
  <c r="O42" i="1"/>
  <c r="M43" i="1"/>
  <c r="N43" i="1"/>
  <c r="O43" i="1"/>
  <c r="M44" i="1"/>
  <c r="N44" i="1"/>
  <c r="O44" i="1"/>
  <c r="M45" i="1"/>
  <c r="N45" i="1"/>
  <c r="O45" i="1"/>
  <c r="M46" i="1"/>
  <c r="N46" i="1"/>
  <c r="O46" i="1"/>
  <c r="M47" i="1"/>
  <c r="N47" i="1"/>
  <c r="O47" i="1"/>
  <c r="M48" i="1"/>
  <c r="N48" i="1"/>
  <c r="O48" i="1"/>
  <c r="M49" i="1"/>
  <c r="N49" i="1"/>
  <c r="O49" i="1"/>
  <c r="M50" i="1"/>
  <c r="N50" i="1"/>
  <c r="O50" i="1"/>
  <c r="M51" i="1"/>
  <c r="N51" i="1"/>
  <c r="O51" i="1"/>
  <c r="M52" i="1"/>
  <c r="N52" i="1"/>
  <c r="O52" i="1"/>
  <c r="M53" i="1"/>
  <c r="N53" i="1"/>
  <c r="O53" i="1"/>
  <c r="M54" i="1"/>
  <c r="N54" i="1"/>
  <c r="O54" i="1"/>
  <c r="M55" i="1"/>
  <c r="N55" i="1"/>
  <c r="O55" i="1"/>
  <c r="M56" i="1"/>
  <c r="N56" i="1"/>
  <c r="O56" i="1"/>
  <c r="Q4" i="1"/>
  <c r="N4" i="1"/>
  <c r="O4" i="1"/>
  <c r="M4" i="1"/>
  <c r="I55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4" i="1"/>
  <c r="I29" i="1"/>
  <c r="I24" i="1"/>
  <c r="I19" i="1"/>
  <c r="I14" i="1"/>
  <c r="I8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4" i="1"/>
  <c r="H29" i="1"/>
  <c r="H24" i="1"/>
  <c r="H19" i="1"/>
  <c r="H14" i="1"/>
  <c r="H8" i="1"/>
  <c r="G14" i="1" l="1"/>
  <c r="G19" i="1"/>
  <c r="G24" i="1"/>
  <c r="G29" i="1"/>
  <c r="G34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8" i="1"/>
</calcChain>
</file>

<file path=xl/sharedStrings.xml><?xml version="1.0" encoding="utf-8"?>
<sst xmlns="http://schemas.openxmlformats.org/spreadsheetml/2006/main" count="128" uniqueCount="56">
  <si>
    <t>Year</t>
  </si>
  <si>
    <t>Gold_Time</t>
  </si>
  <si>
    <t>Gold_Seconds</t>
  </si>
  <si>
    <t>Bronze_Time</t>
  </si>
  <si>
    <t>Bronze_Seconds</t>
  </si>
  <si>
    <t>Silver_Time</t>
  </si>
  <si>
    <t>Silver_Seconds</t>
  </si>
  <si>
    <t>Event</t>
  </si>
  <si>
    <t>OLY</t>
  </si>
  <si>
    <t>Q1</t>
  </si>
  <si>
    <t>Q2</t>
  </si>
  <si>
    <t>Q3</t>
  </si>
  <si>
    <t>Q1_seconds</t>
  </si>
  <si>
    <t>Q2_seconds</t>
  </si>
  <si>
    <t>Q3_seconds</t>
  </si>
  <si>
    <t>Fastest</t>
  </si>
  <si>
    <t>Fastest_seconds</t>
  </si>
  <si>
    <t>Location</t>
  </si>
  <si>
    <t>Mexico City</t>
  </si>
  <si>
    <t>Tokyo</t>
  </si>
  <si>
    <t>Rome</t>
  </si>
  <si>
    <t>Helsinki</t>
  </si>
  <si>
    <t>Melbourne</t>
  </si>
  <si>
    <t>London</t>
  </si>
  <si>
    <t>Berlin</t>
  </si>
  <si>
    <t>Pasadena</t>
  </si>
  <si>
    <t>Amsterdam</t>
  </si>
  <si>
    <t>Antwerp</t>
  </si>
  <si>
    <t>Paris</t>
  </si>
  <si>
    <t>Rio de Janeiro</t>
  </si>
  <si>
    <t>Beijing</t>
  </si>
  <si>
    <t>Athens</t>
  </si>
  <si>
    <t>Sydney</t>
  </si>
  <si>
    <t>Atlanta</t>
  </si>
  <si>
    <t>Barcelona</t>
  </si>
  <si>
    <t>Seoul</t>
  </si>
  <si>
    <t>Los Angeles</t>
  </si>
  <si>
    <t>Moscow</t>
  </si>
  <si>
    <t>Montreal</t>
  </si>
  <si>
    <t>Munich</t>
  </si>
  <si>
    <t>WCH</t>
  </si>
  <si>
    <t>Glasgow</t>
  </si>
  <si>
    <t>Roubaix</t>
  </si>
  <si>
    <t>Pruszkow</t>
  </si>
  <si>
    <t>Apeldoorn</t>
  </si>
  <si>
    <t>Hong Kong</t>
  </si>
  <si>
    <t>Cali</t>
  </si>
  <si>
    <t>Minsk</t>
  </si>
  <si>
    <t>Ballerup</t>
  </si>
  <si>
    <t>Manchester</t>
  </si>
  <si>
    <t>Bordeaux</t>
  </si>
  <si>
    <t>Mallorca</t>
  </si>
  <si>
    <t>Stuttgart</t>
  </si>
  <si>
    <t>Perth</t>
  </si>
  <si>
    <t>DateSerial</t>
  </si>
  <si>
    <t>Santiago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</si>
</sst>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A844C-89A8-4AB0-8288-D746F85E52AB}">
  <dimension ref="A1:S56"/>
  <sheetViews>
    <sheetView tabSelected="1" zoomScale="90" zoomScaleNormal="90" workbookViewId="0">
      <pane ySplit="1" topLeftCell="A2" activePane="bottomLeft" state="frozen"/>
      <selection pane="bottomLeft" activeCell="A11" sqref="A11:R11"/>
    </sheetView>
  </sheetViews>
  <sheetFormatPr defaultRowHeight="14.5" x14ac:dyDescent="0.35"/>
  <cols>
    <col min="1" max="1" width="5.26953125" bestFit="1" customWidth="1"/>
    <col min="2" max="2" width="5.08984375" bestFit="1" customWidth="1"/>
    <col min="3" max="3" width="11.81640625" bestFit="1" customWidth="1"/>
    <col min="4" max="4" width="9.26953125" bestFit="1" customWidth="1"/>
    <col min="5" max="5" width="9.81640625" bestFit="1" customWidth="1"/>
    <col min="6" max="6" width="11" bestFit="1" customWidth="1"/>
    <col min="7" max="7" width="12.1796875" bestFit="1" customWidth="1"/>
    <col min="8" max="8" width="12.81640625" bestFit="1" customWidth="1"/>
    <col min="9" max="9" width="14" bestFit="1" customWidth="1"/>
    <col min="10" max="12" width="9.08984375" bestFit="1" customWidth="1"/>
    <col min="13" max="15" width="10.6328125" bestFit="1" customWidth="1"/>
    <col min="16" max="16" width="9.08984375" bestFit="1" customWidth="1"/>
    <col min="17" max="17" width="14" bestFit="1" customWidth="1"/>
    <col min="18" max="19" width="9.90625" bestFit="1" customWidth="1"/>
  </cols>
  <sheetData>
    <row r="1" spans="1:19" x14ac:dyDescent="0.35">
      <c r="A1" t="s">
        <v>0</v>
      </c>
      <c r="B1" t="s">
        <v>7</v>
      </c>
      <c r="C1" t="s">
        <v>17</v>
      </c>
      <c r="D1" t="s">
        <v>1</v>
      </c>
      <c r="E1" t="s">
        <v>5</v>
      </c>
      <c r="F1" t="s">
        <v>3</v>
      </c>
      <c r="G1" t="s">
        <v>2</v>
      </c>
      <c r="H1" t="s">
        <v>6</v>
      </c>
      <c r="I1" t="s">
        <v>4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54</v>
      </c>
    </row>
    <row r="2" spans="1:19" x14ac:dyDescent="0.35">
      <c r="A2">
        <v>2025</v>
      </c>
      <c r="B2" t="s">
        <v>40</v>
      </c>
      <c r="C2" t="s">
        <v>55</v>
      </c>
      <c r="D2" s="1">
        <f>G2/86400</f>
        <v>2.5916087962962963E-3</v>
      </c>
      <c r="E2" s="1">
        <f t="shared" ref="E2" si="0">H2/86400</f>
        <v>2.6303009259259261E-3</v>
      </c>
      <c r="F2" s="1">
        <f t="shared" ref="F2" si="1">I2/86400</f>
        <v>2.6490393518518521E-3</v>
      </c>
      <c r="G2" s="2">
        <v>223.91499999999999</v>
      </c>
      <c r="H2" s="2">
        <v>227.25800000000001</v>
      </c>
      <c r="I2" s="2">
        <v>228.87700000000001</v>
      </c>
      <c r="J2" s="1">
        <f>M2/86400</f>
        <v>2.5900925925925926E-3</v>
      </c>
      <c r="K2" s="1">
        <f t="shared" ref="K2" si="2">N2/86400</f>
        <v>2.6132638888888889E-3</v>
      </c>
      <c r="L2" s="1">
        <f t="shared" ref="L2" si="3">O2/86400</f>
        <v>2.6504745370370371E-3</v>
      </c>
      <c r="M2" s="2">
        <v>223.78399999999999</v>
      </c>
      <c r="N2" s="2">
        <v>225.786</v>
      </c>
      <c r="O2" s="2">
        <v>229.001</v>
      </c>
      <c r="P2" s="1">
        <f>Q2/86400</f>
        <v>2.5900925925925926E-3</v>
      </c>
      <c r="Q2" s="2">
        <v>223.78399999999999</v>
      </c>
      <c r="R2">
        <v>45952</v>
      </c>
    </row>
    <row r="3" spans="1:19" x14ac:dyDescent="0.35">
      <c r="A3">
        <v>2024</v>
      </c>
      <c r="B3" t="s">
        <v>40</v>
      </c>
      <c r="C3" t="s">
        <v>48</v>
      </c>
      <c r="D3" s="1">
        <f>G3/86400</f>
        <v>2.6115972222222222E-3</v>
      </c>
      <c r="E3" s="1">
        <f t="shared" ref="E3" si="4">H3/86400</f>
        <v>2.6153125E-3</v>
      </c>
      <c r="F3" s="1">
        <f t="shared" ref="F3" si="5">I3/86400</f>
        <v>2.6933680555555556E-3</v>
      </c>
      <c r="G3">
        <v>225.642</v>
      </c>
      <c r="H3">
        <v>225.96299999999999</v>
      </c>
      <c r="I3">
        <v>232.70699999999999</v>
      </c>
      <c r="J3" s="1">
        <f>M3/86400</f>
        <v>2.6476736111111111E-3</v>
      </c>
      <c r="K3" s="1">
        <f t="shared" ref="K3:L3" si="6">N3/86400</f>
        <v>2.6502662037037037E-3</v>
      </c>
      <c r="L3" s="1">
        <f t="shared" si="6"/>
        <v>2.7208796296296295E-3</v>
      </c>
      <c r="M3">
        <v>228.75899999999999</v>
      </c>
      <c r="N3">
        <v>228.983</v>
      </c>
      <c r="O3">
        <v>235.084</v>
      </c>
      <c r="P3" s="1">
        <f>Q3/86400</f>
        <v>2.6115972222222222E-3</v>
      </c>
      <c r="Q3" s="2">
        <v>225.642</v>
      </c>
      <c r="R3">
        <v>45581</v>
      </c>
    </row>
    <row r="4" spans="1:19" x14ac:dyDescent="0.35">
      <c r="A4">
        <v>2024</v>
      </c>
      <c r="B4" t="s">
        <v>8</v>
      </c>
      <c r="C4" t="s">
        <v>28</v>
      </c>
      <c r="D4" s="1">
        <v>2.5702199074074073E-3</v>
      </c>
      <c r="E4" s="1">
        <v>2.5971527777777777E-3</v>
      </c>
      <c r="F4" s="1">
        <v>2.5948726851851853E-3</v>
      </c>
      <c r="G4">
        <v>222.06700000000001</v>
      </c>
      <c r="H4">
        <v>224.39400000000001</v>
      </c>
      <c r="I4">
        <v>224.197</v>
      </c>
      <c r="J4" s="1">
        <v>2.5805324074074073E-3</v>
      </c>
      <c r="K4" s="1">
        <v>2.58380787037037E-3</v>
      </c>
      <c r="L4" s="1">
        <v>2.5890046296296295E-3</v>
      </c>
      <c r="M4">
        <f>J4*86400</f>
        <v>222.958</v>
      </c>
      <c r="N4">
        <f t="shared" ref="N4:O4" si="7">K4*86400</f>
        <v>223.24099999999996</v>
      </c>
      <c r="O4">
        <f t="shared" si="7"/>
        <v>223.69</v>
      </c>
      <c r="P4" s="1">
        <v>2.5547453703703704E-3</v>
      </c>
      <c r="Q4">
        <f>P4*86400</f>
        <v>220.73000000000002</v>
      </c>
      <c r="R4">
        <v>45511</v>
      </c>
      <c r="S4" s="2"/>
    </row>
    <row r="5" spans="1:19" x14ac:dyDescent="0.35">
      <c r="A5">
        <v>2023</v>
      </c>
      <c r="B5" t="s">
        <v>40</v>
      </c>
      <c r="C5" t="s">
        <v>41</v>
      </c>
      <c r="D5" s="1">
        <v>2.6060300925925925E-3</v>
      </c>
      <c r="E5" s="1">
        <v>2.6318981481481484E-3</v>
      </c>
      <c r="F5" s="1">
        <v>2.6414120370370372E-3</v>
      </c>
      <c r="G5">
        <f t="shared" ref="G5:G14" si="8">D5*86400</f>
        <v>225.161</v>
      </c>
      <c r="H5">
        <f t="shared" ref="H5:H6" si="9">E5*86400</f>
        <v>227.39600000000002</v>
      </c>
      <c r="I5">
        <f t="shared" ref="I5:I6" si="10">F5*86400</f>
        <v>228.21800000000002</v>
      </c>
      <c r="J5" s="1">
        <v>2.6251851851851853E-3</v>
      </c>
      <c r="K5" s="1">
        <v>2.6517708333333332E-3</v>
      </c>
      <c r="L5" s="1">
        <v>2.6667592592592593E-3</v>
      </c>
      <c r="M5">
        <f>J5*86400</f>
        <v>226.816</v>
      </c>
      <c r="N5">
        <f t="shared" ref="N5" si="11">K5*86400</f>
        <v>229.113</v>
      </c>
      <c r="O5">
        <f t="shared" ref="O5" si="12">L5*86400</f>
        <v>230.40800000000002</v>
      </c>
      <c r="P5" s="1">
        <v>2.6060300925925925E-3</v>
      </c>
      <c r="Q5">
        <f t="shared" ref="Q5:Q7" si="13">P5*86400</f>
        <v>225.161</v>
      </c>
      <c r="R5">
        <v>45141</v>
      </c>
      <c r="S5" s="2"/>
    </row>
    <row r="6" spans="1:19" x14ac:dyDescent="0.35">
      <c r="A6">
        <v>2022</v>
      </c>
      <c r="B6" t="s">
        <v>40</v>
      </c>
      <c r="C6" t="s">
        <v>28</v>
      </c>
      <c r="D6" s="1">
        <v>2.6137615740740743E-3</v>
      </c>
      <c r="E6" s="1">
        <v>2.6161226851851853E-3</v>
      </c>
      <c r="F6" s="1">
        <v>2.6240856481481484E-3</v>
      </c>
      <c r="G6">
        <f t="shared" si="8"/>
        <v>225.82900000000004</v>
      </c>
      <c r="H6">
        <f t="shared" si="9"/>
        <v>226.03300000000002</v>
      </c>
      <c r="I6">
        <f t="shared" si="10"/>
        <v>226.72100000000003</v>
      </c>
      <c r="J6" s="1">
        <v>2.6399537037037034E-3</v>
      </c>
      <c r="K6" s="1">
        <v>2.6417013888888887E-3</v>
      </c>
      <c r="L6" s="1">
        <v>2.6486689814814814E-3</v>
      </c>
      <c r="M6">
        <f>J6*86400</f>
        <v>228.09199999999998</v>
      </c>
      <c r="N6">
        <f t="shared" ref="N6" si="14">K6*86400</f>
        <v>228.24299999999999</v>
      </c>
      <c r="O6">
        <f t="shared" ref="O6" si="15">L6*86400</f>
        <v>228.845</v>
      </c>
      <c r="P6" s="1">
        <v>2.6137615740740743E-3</v>
      </c>
      <c r="Q6">
        <f t="shared" si="13"/>
        <v>225.82900000000004</v>
      </c>
      <c r="R6">
        <v>44847</v>
      </c>
      <c r="S6" s="2"/>
    </row>
    <row r="7" spans="1:19" x14ac:dyDescent="0.35">
      <c r="A7">
        <v>2021</v>
      </c>
      <c r="B7" t="s">
        <v>40</v>
      </c>
      <c r="C7" t="s">
        <v>42</v>
      </c>
      <c r="D7" s="1">
        <v>2.629537037037037E-3</v>
      </c>
      <c r="E7" s="1">
        <v>2.6524074074074076E-3</v>
      </c>
      <c r="F7" s="1">
        <v>2.6759837962962961E-3</v>
      </c>
      <c r="G7">
        <f t="shared" si="8"/>
        <v>227.19200000000001</v>
      </c>
      <c r="H7">
        <f t="shared" ref="H7" si="16">E7*86400</f>
        <v>229.16800000000001</v>
      </c>
      <c r="I7">
        <f t="shared" ref="I7" si="17">F7*86400</f>
        <v>231.20499999999998</v>
      </c>
      <c r="J7" s="1">
        <v>2.6505555555555557E-3</v>
      </c>
      <c r="K7" s="1">
        <v>2.6750925925925926E-3</v>
      </c>
      <c r="L7" s="1">
        <v>2.6952893518518519E-3</v>
      </c>
      <c r="M7">
        <f>J7*86400</f>
        <v>229.00800000000001</v>
      </c>
      <c r="N7">
        <f t="shared" ref="N7" si="18">K7*86400</f>
        <v>231.12800000000001</v>
      </c>
      <c r="O7">
        <f t="shared" ref="O7" si="19">L7*86400</f>
        <v>232.87300000000002</v>
      </c>
      <c r="P7" s="1">
        <v>2.6245370370370368E-3</v>
      </c>
      <c r="Q7">
        <f t="shared" si="13"/>
        <v>226.76</v>
      </c>
      <c r="R7">
        <v>44490</v>
      </c>
      <c r="S7" s="2"/>
    </row>
    <row r="8" spans="1:19" x14ac:dyDescent="0.35">
      <c r="A8">
        <v>2021</v>
      </c>
      <c r="B8" t="s">
        <v>8</v>
      </c>
      <c r="C8" t="s">
        <v>19</v>
      </c>
      <c r="D8" s="1">
        <v>2.5698148148148147E-3</v>
      </c>
      <c r="E8" s="1">
        <v>2.571736111111111E-3</v>
      </c>
      <c r="F8" s="1">
        <v>2.5740393518518517E-3</v>
      </c>
      <c r="G8">
        <f t="shared" si="8"/>
        <v>222.03199999999998</v>
      </c>
      <c r="H8">
        <f t="shared" ref="H8:I14" si="20">E8*86400</f>
        <v>222.19799999999998</v>
      </c>
      <c r="I8">
        <f t="shared" si="20"/>
        <v>222.39699999999999</v>
      </c>
      <c r="J8" s="1">
        <v>2.6043287037037038E-3</v>
      </c>
      <c r="K8" s="1">
        <v>2.614525462962963E-3</v>
      </c>
      <c r="L8" s="1">
        <v>2.6166550925925927E-3</v>
      </c>
      <c r="M8">
        <f t="shared" ref="M8:M56" si="21">J8*86400</f>
        <v>225.01400000000001</v>
      </c>
      <c r="N8">
        <f t="shared" ref="N8:N56" si="22">K8*86400</f>
        <v>225.89500000000001</v>
      </c>
      <c r="O8">
        <f t="shared" ref="O8:O56" si="23">L8*86400</f>
        <v>226.07900000000001</v>
      </c>
      <c r="P8" s="1">
        <v>2.5698148148148147E-3</v>
      </c>
      <c r="Q8">
        <f t="shared" ref="Q8:Q56" si="24">P8*86400</f>
        <v>222.03199999999998</v>
      </c>
      <c r="R8">
        <v>44412</v>
      </c>
      <c r="S8" s="2"/>
    </row>
    <row r="9" spans="1:19" x14ac:dyDescent="0.35">
      <c r="A9">
        <v>2020</v>
      </c>
      <c r="B9" t="s">
        <v>40</v>
      </c>
      <c r="C9" t="s">
        <v>24</v>
      </c>
      <c r="D9" s="1">
        <v>2.6003703703703705E-3</v>
      </c>
      <c r="E9" s="1">
        <v>2.6587152777777776E-3</v>
      </c>
      <c r="F9" s="1">
        <v>2.6332291666666665E-3</v>
      </c>
      <c r="G9">
        <f t="shared" si="8"/>
        <v>224.67200000000003</v>
      </c>
      <c r="H9">
        <f t="shared" si="20"/>
        <v>229.71299999999999</v>
      </c>
      <c r="I9">
        <f t="shared" si="20"/>
        <v>227.511</v>
      </c>
      <c r="J9" s="1">
        <v>2.6224421296296295E-3</v>
      </c>
      <c r="K9" s="1">
        <v>2.6474768518518518E-3</v>
      </c>
      <c r="L9" s="1">
        <v>2.6569212962962961E-3</v>
      </c>
      <c r="M9">
        <f t="shared" ref="M9:M11" si="25">J9*86400</f>
        <v>226.57899999999998</v>
      </c>
      <c r="N9">
        <f t="shared" ref="N9:N11" si="26">K9*86400</f>
        <v>228.74199999999999</v>
      </c>
      <c r="O9">
        <f t="shared" ref="O9:O11" si="27">L9*86400</f>
        <v>229.55799999999999</v>
      </c>
      <c r="P9" s="1">
        <v>2.6003703703703705E-3</v>
      </c>
      <c r="Q9">
        <f t="shared" si="24"/>
        <v>224.67200000000003</v>
      </c>
      <c r="R9">
        <v>43889</v>
      </c>
      <c r="S9" s="2"/>
    </row>
    <row r="10" spans="1:19" x14ac:dyDescent="0.35">
      <c r="A10">
        <v>2019</v>
      </c>
      <c r="B10" t="s">
        <v>40</v>
      </c>
      <c r="C10" t="s">
        <v>43</v>
      </c>
      <c r="D10" s="1">
        <v>2.6390277777777779E-3</v>
      </c>
      <c r="E10" s="1">
        <v>2.6714120370370372E-3</v>
      </c>
      <c r="F10" s="1">
        <v>2.6829166666666668E-3</v>
      </c>
      <c r="G10">
        <f t="shared" si="8"/>
        <v>228.012</v>
      </c>
      <c r="H10">
        <f t="shared" si="20"/>
        <v>230.81000000000003</v>
      </c>
      <c r="I10">
        <f t="shared" si="20"/>
        <v>231.804</v>
      </c>
      <c r="J10" s="1">
        <v>2.6869444444444445E-3</v>
      </c>
      <c r="K10" s="1">
        <v>2.7084490740740741E-3</v>
      </c>
      <c r="L10" s="1">
        <v>2.7099652777777777E-3</v>
      </c>
      <c r="M10">
        <f t="shared" si="25"/>
        <v>232.15200000000002</v>
      </c>
      <c r="N10">
        <f t="shared" si="26"/>
        <v>234.01</v>
      </c>
      <c r="O10">
        <f t="shared" si="27"/>
        <v>234.14099999999999</v>
      </c>
      <c r="P10" s="1">
        <v>2.6390277777777779E-3</v>
      </c>
      <c r="Q10">
        <f t="shared" si="24"/>
        <v>228.012</v>
      </c>
      <c r="R10">
        <v>43524</v>
      </c>
    </row>
    <row r="11" spans="1:19" x14ac:dyDescent="0.35">
      <c r="A11">
        <v>2018</v>
      </c>
      <c r="B11" t="s">
        <v>40</v>
      </c>
      <c r="C11" t="s">
        <v>44</v>
      </c>
      <c r="D11" s="1">
        <v>2.7012615740740742E-3</v>
      </c>
      <c r="E11" s="1">
        <v>2.7225925925925924E-3</v>
      </c>
      <c r="F11" s="1">
        <v>2.7153472222222223E-3</v>
      </c>
      <c r="G11">
        <f t="shared" si="8"/>
        <v>233.38900000000001</v>
      </c>
      <c r="H11">
        <f t="shared" si="20"/>
        <v>235.232</v>
      </c>
      <c r="I11">
        <f t="shared" si="20"/>
        <v>234.60599999999999</v>
      </c>
      <c r="J11" s="1">
        <v>2.7281712962962962E-3</v>
      </c>
      <c r="K11" s="1">
        <v>2.7361805555555555E-3</v>
      </c>
      <c r="L11" s="1">
        <v>2.7400462962962964E-3</v>
      </c>
      <c r="M11">
        <f t="shared" si="25"/>
        <v>235.714</v>
      </c>
      <c r="N11">
        <f t="shared" si="26"/>
        <v>236.40600000000001</v>
      </c>
      <c r="O11">
        <f t="shared" si="27"/>
        <v>236.74</v>
      </c>
      <c r="P11" s="1">
        <v>2.7012615740740742E-3</v>
      </c>
      <c r="Q11">
        <f t="shared" si="24"/>
        <v>233.38900000000001</v>
      </c>
      <c r="R11">
        <v>43159</v>
      </c>
    </row>
    <row r="12" spans="1:19" x14ac:dyDescent="0.35">
      <c r="A12">
        <v>2017</v>
      </c>
      <c r="B12" t="s">
        <v>40</v>
      </c>
      <c r="C12" t="s">
        <v>45</v>
      </c>
      <c r="D12" s="1">
        <v>2.6794328703703702E-3</v>
      </c>
      <c r="E12" s="1">
        <v>2.7080902777777776E-3</v>
      </c>
      <c r="F12" s="1">
        <v>2.7423032407407409E-3</v>
      </c>
      <c r="G12">
        <f t="shared" si="8"/>
        <v>231.50299999999999</v>
      </c>
      <c r="H12">
        <f t="shared" si="20"/>
        <v>233.97899999999998</v>
      </c>
      <c r="I12">
        <f t="shared" si="20"/>
        <v>236.935</v>
      </c>
      <c r="J12" s="1">
        <v>2.6687152777777777E-3</v>
      </c>
      <c r="K12" s="1">
        <v>2.7016435185185186E-3</v>
      </c>
      <c r="L12" s="1">
        <v>2.7286458333333334E-3</v>
      </c>
      <c r="M12">
        <f t="shared" ref="M12" si="28">J12*86400</f>
        <v>230.577</v>
      </c>
      <c r="N12">
        <f t="shared" ref="N12" si="29">K12*86400</f>
        <v>233.422</v>
      </c>
      <c r="O12">
        <f t="shared" ref="O12" si="30">L12*86400</f>
        <v>235.755</v>
      </c>
      <c r="P12" s="1">
        <v>2.6687152777777777E-3</v>
      </c>
      <c r="Q12">
        <f t="shared" si="24"/>
        <v>230.577</v>
      </c>
      <c r="R12">
        <v>42837</v>
      </c>
    </row>
    <row r="13" spans="1:19" x14ac:dyDescent="0.35">
      <c r="A13">
        <v>2016</v>
      </c>
      <c r="B13" t="s">
        <v>40</v>
      </c>
      <c r="C13" t="s">
        <v>23</v>
      </c>
      <c r="D13" s="1">
        <v>2.6935995370370369E-3</v>
      </c>
      <c r="E13" s="1">
        <v>2.7066666666666667E-3</v>
      </c>
      <c r="F13" s="1">
        <v>2.7307407407407406E-3</v>
      </c>
      <c r="G13">
        <f t="shared" si="8"/>
        <v>232.72699999999998</v>
      </c>
      <c r="H13">
        <f t="shared" si="20"/>
        <v>233.85599999999999</v>
      </c>
      <c r="I13">
        <f t="shared" si="20"/>
        <v>235.93599999999998</v>
      </c>
      <c r="J13" s="1">
        <v>2.7275925925925927E-3</v>
      </c>
      <c r="K13" s="1">
        <v>2.7299421296296295E-3</v>
      </c>
      <c r="L13" s="1">
        <v>2.7436342592592595E-3</v>
      </c>
      <c r="M13">
        <f t="shared" ref="M13" si="31">J13*86400</f>
        <v>235.66400000000002</v>
      </c>
      <c r="N13">
        <f t="shared" ref="N13" si="32">K13*86400</f>
        <v>235.86699999999999</v>
      </c>
      <c r="O13">
        <f t="shared" ref="O13" si="33">L13*86400</f>
        <v>237.05</v>
      </c>
      <c r="P13" s="1">
        <v>2.6935995370370369E-3</v>
      </c>
      <c r="Q13">
        <f t="shared" si="24"/>
        <v>232.72699999999998</v>
      </c>
      <c r="R13">
        <v>42435</v>
      </c>
    </row>
    <row r="14" spans="1:19" x14ac:dyDescent="0.35">
      <c r="A14">
        <v>2016</v>
      </c>
      <c r="B14" t="s">
        <v>8</v>
      </c>
      <c r="C14" t="s">
        <v>29</v>
      </c>
      <c r="D14" s="1">
        <v>2.6651041666666663E-3</v>
      </c>
      <c r="E14" s="1">
        <v>2.6737037037037037E-3</v>
      </c>
      <c r="F14" s="1">
        <v>2.7058912037037034E-3</v>
      </c>
      <c r="G14">
        <f t="shared" si="8"/>
        <v>230.26499999999996</v>
      </c>
      <c r="H14">
        <f t="shared" si="20"/>
        <v>231.00800000000001</v>
      </c>
      <c r="I14">
        <f t="shared" si="20"/>
        <v>233.78899999999999</v>
      </c>
      <c r="J14" s="1">
        <v>2.6845254629629628E-3</v>
      </c>
      <c r="K14" s="1">
        <v>2.7244907407407409E-3</v>
      </c>
      <c r="L14" s="1">
        <v>2.7269212962962963E-3</v>
      </c>
      <c r="M14">
        <f t="shared" si="21"/>
        <v>231.94299999999998</v>
      </c>
      <c r="N14">
        <f t="shared" si="22"/>
        <v>235.39600000000002</v>
      </c>
      <c r="O14">
        <f t="shared" si="23"/>
        <v>235.60599999999999</v>
      </c>
      <c r="P14" s="1">
        <v>2.6651041666666663E-3</v>
      </c>
      <c r="Q14">
        <f t="shared" si="24"/>
        <v>230.26499999999996</v>
      </c>
      <c r="R14">
        <v>42593</v>
      </c>
    </row>
    <row r="15" spans="1:19" x14ac:dyDescent="0.35">
      <c r="A15">
        <v>2015</v>
      </c>
      <c r="B15" t="s">
        <v>40</v>
      </c>
      <c r="C15" t="s">
        <v>28</v>
      </c>
      <c r="D15" s="1">
        <v>2.7093518518518517E-3</v>
      </c>
      <c r="E15" s="1">
        <v>2.7162847222222224E-3</v>
      </c>
      <c r="F15" s="1">
        <v>2.7235416666666666E-3</v>
      </c>
      <c r="G15">
        <f t="shared" ref="G15:G18" si="34">D15*86400</f>
        <v>234.08799999999999</v>
      </c>
      <c r="H15">
        <f t="shared" ref="H15:H18" si="35">E15*86400</f>
        <v>234.68700000000001</v>
      </c>
      <c r="I15">
        <f t="shared" ref="I15:I18" si="36">F15*86400</f>
        <v>235.31399999999999</v>
      </c>
      <c r="J15" s="1">
        <v>2.7363541666666664E-3</v>
      </c>
      <c r="K15" s="1">
        <v>2.7513425925925926E-3</v>
      </c>
      <c r="L15" s="1">
        <v>2.7641550925925928E-3</v>
      </c>
      <c r="M15">
        <f t="shared" ref="M15:M18" si="37">J15*86400</f>
        <v>236.42099999999999</v>
      </c>
      <c r="N15">
        <f t="shared" ref="N15:N18" si="38">K15*86400</f>
        <v>237.71600000000001</v>
      </c>
      <c r="O15">
        <f t="shared" ref="O15:O18" si="39">L15*86400</f>
        <v>238.82300000000001</v>
      </c>
      <c r="P15" s="1">
        <v>2.7093518518518517E-3</v>
      </c>
      <c r="Q15">
        <f t="shared" si="24"/>
        <v>234.08799999999999</v>
      </c>
      <c r="R15">
        <v>42053</v>
      </c>
    </row>
    <row r="16" spans="1:19" x14ac:dyDescent="0.35">
      <c r="A16">
        <v>2014</v>
      </c>
      <c r="B16" t="s">
        <v>40</v>
      </c>
      <c r="C16" t="s">
        <v>46</v>
      </c>
      <c r="D16" s="1">
        <v>2.7535532407407404E-3</v>
      </c>
      <c r="E16" s="1">
        <v>2.7734143518518516E-3</v>
      </c>
      <c r="F16" s="1">
        <v>2.7660763888888891E-3</v>
      </c>
      <c r="G16">
        <f t="shared" si="34"/>
        <v>237.90699999999998</v>
      </c>
      <c r="H16">
        <f t="shared" si="35"/>
        <v>239.62299999999996</v>
      </c>
      <c r="I16">
        <f t="shared" si="36"/>
        <v>238.989</v>
      </c>
      <c r="J16" s="1">
        <v>2.7798148148148148E-3</v>
      </c>
      <c r="K16" s="1">
        <v>2.7953240740740738E-3</v>
      </c>
      <c r="L16" s="1">
        <v>2.7964699074074077E-3</v>
      </c>
      <c r="M16">
        <f t="shared" si="37"/>
        <v>240.17599999999999</v>
      </c>
      <c r="N16">
        <f t="shared" si="38"/>
        <v>241.51599999999996</v>
      </c>
      <c r="O16">
        <f t="shared" si="39"/>
        <v>241.61500000000001</v>
      </c>
      <c r="P16" s="1">
        <v>2.7535532407407404E-3</v>
      </c>
      <c r="Q16">
        <f t="shared" si="24"/>
        <v>237.90699999999998</v>
      </c>
      <c r="R16">
        <v>41696</v>
      </c>
    </row>
    <row r="17" spans="1:19" x14ac:dyDescent="0.35">
      <c r="A17">
        <v>2013</v>
      </c>
      <c r="B17" t="s">
        <v>40</v>
      </c>
      <c r="C17" t="s">
        <v>47</v>
      </c>
      <c r="D17" s="1">
        <v>2.7401736111111112E-3</v>
      </c>
      <c r="E17" s="1">
        <v>2.7889699074074075E-3</v>
      </c>
      <c r="F17" s="1">
        <v>2.7757060185185185E-3</v>
      </c>
      <c r="G17">
        <f t="shared" si="34"/>
        <v>236.751</v>
      </c>
      <c r="H17">
        <f t="shared" si="35"/>
        <v>240.96700000000001</v>
      </c>
      <c r="I17">
        <f t="shared" si="36"/>
        <v>239.821</v>
      </c>
      <c r="J17" s="1">
        <v>2.7699652777777774E-3</v>
      </c>
      <c r="K17" s="1">
        <v>2.7752777777777776E-3</v>
      </c>
      <c r="L17" s="1">
        <v>2.7875115740740742E-3</v>
      </c>
      <c r="M17">
        <f t="shared" si="37"/>
        <v>239.32499999999996</v>
      </c>
      <c r="N17">
        <f t="shared" si="38"/>
        <v>239.78399999999999</v>
      </c>
      <c r="O17">
        <f t="shared" si="39"/>
        <v>240.84100000000001</v>
      </c>
      <c r="P17" s="1">
        <v>2.7401736111111112E-3</v>
      </c>
      <c r="Q17">
        <f t="shared" si="24"/>
        <v>236.751</v>
      </c>
      <c r="R17">
        <v>41325</v>
      </c>
    </row>
    <row r="18" spans="1:19" x14ac:dyDescent="0.35">
      <c r="A18">
        <v>2012</v>
      </c>
      <c r="B18" t="s">
        <v>40</v>
      </c>
      <c r="C18" t="s">
        <v>22</v>
      </c>
      <c r="D18" s="1">
        <v>2.7001736111111111E-3</v>
      </c>
      <c r="E18" s="1">
        <v>2.7014004629629632E-3</v>
      </c>
      <c r="F18" s="1">
        <v>2.7499074074074071E-3</v>
      </c>
      <c r="G18">
        <f t="shared" si="34"/>
        <v>233.29499999999999</v>
      </c>
      <c r="H18">
        <f t="shared" si="35"/>
        <v>233.40100000000001</v>
      </c>
      <c r="I18">
        <f t="shared" si="36"/>
        <v>237.59199999999998</v>
      </c>
      <c r="J18" s="1">
        <v>2.7139467592592593E-3</v>
      </c>
      <c r="K18" s="1">
        <v>2.7159027777777776E-3</v>
      </c>
      <c r="L18" s="1">
        <v>2.7680092592592591E-3</v>
      </c>
      <c r="M18">
        <f t="shared" si="37"/>
        <v>234.48500000000001</v>
      </c>
      <c r="N18">
        <f t="shared" si="38"/>
        <v>234.654</v>
      </c>
      <c r="O18">
        <f t="shared" si="39"/>
        <v>239.15599999999998</v>
      </c>
      <c r="P18" s="1">
        <v>2.7001736111111111E-3</v>
      </c>
      <c r="Q18">
        <f t="shared" si="24"/>
        <v>233.29499999999999</v>
      </c>
      <c r="R18">
        <v>41003</v>
      </c>
    </row>
    <row r="19" spans="1:19" x14ac:dyDescent="0.35">
      <c r="A19">
        <v>2012</v>
      </c>
      <c r="B19" t="s">
        <v>8</v>
      </c>
      <c r="C19" t="s">
        <v>23</v>
      </c>
      <c r="D19" s="1">
        <v>2.6812384259259259E-3</v>
      </c>
      <c r="E19" s="1">
        <v>2.7150578703703707E-3</v>
      </c>
      <c r="F19" s="1">
        <v>2.7309259259259257E-3</v>
      </c>
      <c r="G19">
        <f>D19*86400</f>
        <v>231.65899999999999</v>
      </c>
      <c r="H19">
        <f>E19*86400</f>
        <v>234.58100000000002</v>
      </c>
      <c r="I19">
        <f>F19*86400</f>
        <v>235.95199999999997</v>
      </c>
      <c r="J19" s="1">
        <v>2.6909606481481481E-3</v>
      </c>
      <c r="K19" s="1">
        <v>2.727939814814815E-3</v>
      </c>
      <c r="L19" s="1">
        <v>2.7500810185185185E-3</v>
      </c>
      <c r="M19">
        <f t="shared" si="21"/>
        <v>232.499</v>
      </c>
      <c r="N19">
        <f t="shared" si="22"/>
        <v>235.69400000000002</v>
      </c>
      <c r="O19">
        <f t="shared" si="23"/>
        <v>237.607</v>
      </c>
      <c r="P19" s="1">
        <v>2.6812384259259259E-3</v>
      </c>
      <c r="Q19">
        <f t="shared" si="24"/>
        <v>231.65899999999999</v>
      </c>
      <c r="R19">
        <v>41123</v>
      </c>
    </row>
    <row r="20" spans="1:19" x14ac:dyDescent="0.35">
      <c r="A20">
        <v>2011</v>
      </c>
      <c r="B20" t="s">
        <v>40</v>
      </c>
      <c r="C20" t="s">
        <v>44</v>
      </c>
      <c r="D20" s="1">
        <v>2.7526851851851853E-3</v>
      </c>
      <c r="E20" s="1">
        <v>2.8035763888888889E-3</v>
      </c>
      <c r="F20" s="1">
        <v>2.809965277777778E-3</v>
      </c>
      <c r="G20">
        <f t="shared" ref="G20:G23" si="40">D20*86400</f>
        <v>237.83199999999999</v>
      </c>
      <c r="H20">
        <f t="shared" ref="H20:H23" si="41">E20*86400</f>
        <v>242.22899999999998</v>
      </c>
      <c r="I20">
        <f t="shared" ref="I20:I23" si="42">F20*86400</f>
        <v>242.78100000000001</v>
      </c>
      <c r="J20" s="1">
        <v>2.7797222222222225E-3</v>
      </c>
      <c r="K20" s="1">
        <v>2.7889467592592592E-3</v>
      </c>
      <c r="L20" s="1">
        <v>2.8097685185185187E-3</v>
      </c>
      <c r="M20">
        <f t="shared" ref="M20:M22" si="43">J20*86400</f>
        <v>240.16800000000003</v>
      </c>
      <c r="N20">
        <f t="shared" ref="N20:N22" si="44">K20*86400</f>
        <v>240.965</v>
      </c>
      <c r="O20">
        <f t="shared" ref="O20:O22" si="45">L20*86400</f>
        <v>242.76400000000001</v>
      </c>
      <c r="P20" s="1">
        <v>2.7526851851851853E-3</v>
      </c>
      <c r="Q20">
        <f t="shared" si="24"/>
        <v>237.83199999999999</v>
      </c>
      <c r="R20">
        <v>40625</v>
      </c>
    </row>
    <row r="21" spans="1:19" x14ac:dyDescent="0.35">
      <c r="A21">
        <v>2010</v>
      </c>
      <c r="B21" t="s">
        <v>40</v>
      </c>
      <c r="C21" t="s">
        <v>48</v>
      </c>
      <c r="D21" s="1">
        <v>2.727476851851852E-3</v>
      </c>
      <c r="E21" s="1">
        <v>2.7292361111111111E-3</v>
      </c>
      <c r="F21" s="1">
        <v>2.7717013888888887E-3</v>
      </c>
      <c r="G21">
        <f t="shared" si="40"/>
        <v>235.65400000000002</v>
      </c>
      <c r="H21">
        <f t="shared" si="41"/>
        <v>235.80600000000001</v>
      </c>
      <c r="I21">
        <f t="shared" si="42"/>
        <v>239.47499999999997</v>
      </c>
      <c r="J21" s="1">
        <v>2.7415393518518518E-3</v>
      </c>
      <c r="K21" s="1">
        <v>2.7567708333333333E-3</v>
      </c>
      <c r="L21" s="1">
        <v>2.7617592592592589E-3</v>
      </c>
      <c r="M21">
        <f t="shared" si="43"/>
        <v>236.869</v>
      </c>
      <c r="N21">
        <f t="shared" si="44"/>
        <v>238.185</v>
      </c>
      <c r="O21">
        <f t="shared" si="45"/>
        <v>238.61599999999999</v>
      </c>
      <c r="P21" s="1">
        <v>2.727476851851852E-3</v>
      </c>
      <c r="Q21">
        <f t="shared" si="24"/>
        <v>235.65400000000002</v>
      </c>
      <c r="R21">
        <v>40261</v>
      </c>
    </row>
    <row r="22" spans="1:19" x14ac:dyDescent="0.35">
      <c r="A22">
        <v>2009</v>
      </c>
      <c r="B22" t="s">
        <v>40</v>
      </c>
      <c r="C22" t="s">
        <v>43</v>
      </c>
      <c r="D22" s="1">
        <v>2.7569444444444442E-3</v>
      </c>
      <c r="E22" s="1">
        <v>2.7650462962962963E-3</v>
      </c>
      <c r="F22" s="1">
        <v>2.7800925925925923E-3</v>
      </c>
      <c r="G22">
        <f t="shared" si="40"/>
        <v>238.2</v>
      </c>
      <c r="H22">
        <f t="shared" si="41"/>
        <v>238.9</v>
      </c>
      <c r="I22">
        <f t="shared" si="42"/>
        <v>240.19999999999996</v>
      </c>
      <c r="J22" s="1">
        <v>2.7766203703703703E-3</v>
      </c>
      <c r="K22" s="1">
        <v>2.7847222222222223E-3</v>
      </c>
      <c r="L22" s="1">
        <v>2.7870370370370371E-3</v>
      </c>
      <c r="M22">
        <f t="shared" si="43"/>
        <v>239.89999999999998</v>
      </c>
      <c r="N22">
        <f t="shared" si="44"/>
        <v>240.6</v>
      </c>
      <c r="O22">
        <f t="shared" si="45"/>
        <v>240.8</v>
      </c>
      <c r="P22" s="1">
        <v>2.7569444444444442E-3</v>
      </c>
      <c r="Q22">
        <f t="shared" si="24"/>
        <v>238.2</v>
      </c>
      <c r="R22">
        <v>39897</v>
      </c>
    </row>
    <row r="23" spans="1:19" x14ac:dyDescent="0.35">
      <c r="A23">
        <v>2008</v>
      </c>
      <c r="B23" t="s">
        <v>40</v>
      </c>
      <c r="C23" t="s">
        <v>49</v>
      </c>
      <c r="D23" s="1">
        <v>2.7349537037037039E-3</v>
      </c>
      <c r="E23" s="1">
        <v>2.7708333333333335E-3</v>
      </c>
      <c r="F23" s="1">
        <v>2.7789351851851851E-3</v>
      </c>
      <c r="G23">
        <f t="shared" si="40"/>
        <v>236.3</v>
      </c>
      <c r="H23">
        <f t="shared" si="41"/>
        <v>239.4</v>
      </c>
      <c r="I23">
        <f t="shared" si="42"/>
        <v>240.1</v>
      </c>
      <c r="J23" s="1">
        <v>2.7511574074074075E-3</v>
      </c>
      <c r="K23" s="1">
        <v>2.7662037037037039E-3</v>
      </c>
      <c r="L23" s="1">
        <v>2.7870370370370371E-3</v>
      </c>
      <c r="M23">
        <f t="shared" ref="M23" si="46">J23*86400</f>
        <v>237.70000000000002</v>
      </c>
      <c r="N23">
        <f t="shared" ref="N23" si="47">K23*86400</f>
        <v>239.00000000000003</v>
      </c>
      <c r="O23">
        <f t="shared" ref="O23" si="48">L23*86400</f>
        <v>240.8</v>
      </c>
      <c r="P23" s="1">
        <v>2.7349537037037039E-3</v>
      </c>
      <c r="Q23">
        <f t="shared" si="24"/>
        <v>236.3</v>
      </c>
      <c r="R23">
        <v>39533</v>
      </c>
    </row>
    <row r="24" spans="1:19" x14ac:dyDescent="0.35">
      <c r="A24">
        <v>2008</v>
      </c>
      <c r="B24" t="s">
        <v>8</v>
      </c>
      <c r="C24" t="s">
        <v>30</v>
      </c>
      <c r="D24" s="1">
        <v>2.7003935185185186E-3</v>
      </c>
      <c r="E24" s="1">
        <v>2.7782407407407408E-3</v>
      </c>
      <c r="F24" s="1">
        <v>2.7520370370370372E-3</v>
      </c>
      <c r="G24">
        <f>D24*86400</f>
        <v>233.31400000000002</v>
      </c>
      <c r="H24">
        <f>E24*86400</f>
        <v>240.04000000000002</v>
      </c>
      <c r="I24">
        <f>F24*86400</f>
        <v>237.77600000000001</v>
      </c>
      <c r="J24" s="1">
        <v>2.7442245370370372E-3</v>
      </c>
      <c r="K24" s="1">
        <v>2.7694097222222222E-3</v>
      </c>
      <c r="L24" s="1">
        <v>2.801400462962963E-3</v>
      </c>
      <c r="M24">
        <f t="shared" si="21"/>
        <v>237.10100000000003</v>
      </c>
      <c r="N24">
        <f t="shared" si="22"/>
        <v>239.27699999999999</v>
      </c>
      <c r="O24">
        <f t="shared" si="23"/>
        <v>242.041</v>
      </c>
      <c r="P24" s="1">
        <v>2.7003935185185186E-3</v>
      </c>
      <c r="Q24">
        <f t="shared" si="24"/>
        <v>233.31400000000002</v>
      </c>
      <c r="R24">
        <v>39677</v>
      </c>
    </row>
    <row r="25" spans="1:19" x14ac:dyDescent="0.35">
      <c r="A25">
        <v>2007</v>
      </c>
      <c r="B25" t="s">
        <v>40</v>
      </c>
      <c r="C25" t="s">
        <v>51</v>
      </c>
      <c r="D25" s="1">
        <v>2.7484722222222225E-3</v>
      </c>
      <c r="E25" s="1">
        <v>2.8157407407407406E-3</v>
      </c>
      <c r="F25" s="1">
        <v>2.8251504629629629E-3</v>
      </c>
      <c r="G25">
        <f t="shared" ref="G25:G28" si="49">D25*86400</f>
        <v>237.46800000000002</v>
      </c>
      <c r="H25">
        <f t="shared" ref="H25:H28" si="50">E25*86400</f>
        <v>243.28</v>
      </c>
      <c r="I25">
        <f t="shared" ref="I25:I28" si="51">F25*86400</f>
        <v>244.09299999999999</v>
      </c>
      <c r="J25" s="1">
        <v>2.7729050925925929E-3</v>
      </c>
      <c r="K25" s="1">
        <v>2.8360995370370367E-3</v>
      </c>
      <c r="L25" s="1">
        <v>2.8392013888888889E-3</v>
      </c>
      <c r="M25">
        <f t="shared" ref="M25:M28" si="52">J25*86400</f>
        <v>239.57900000000004</v>
      </c>
      <c r="N25">
        <f t="shared" ref="N25:N28" si="53">K25*86400</f>
        <v>245.03899999999996</v>
      </c>
      <c r="O25">
        <f t="shared" ref="O25:O28" si="54">L25*86400</f>
        <v>245.30700000000002</v>
      </c>
      <c r="P25" s="1">
        <v>2.7484722222222225E-3</v>
      </c>
      <c r="Q25">
        <f t="shared" si="24"/>
        <v>237.46800000000002</v>
      </c>
      <c r="R25">
        <v>39170</v>
      </c>
    </row>
    <row r="26" spans="1:19" x14ac:dyDescent="0.35">
      <c r="A26">
        <v>2006</v>
      </c>
      <c r="B26" t="s">
        <v>40</v>
      </c>
      <c r="C26" t="s">
        <v>50</v>
      </c>
      <c r="D26" s="1">
        <v>2.7950347222222222E-3</v>
      </c>
      <c r="E26" s="1">
        <v>2.7954513888888886E-3</v>
      </c>
      <c r="F26" s="1">
        <v>2.8321180555555556E-3</v>
      </c>
      <c r="G26">
        <f t="shared" si="49"/>
        <v>241.49099999999999</v>
      </c>
      <c r="H26">
        <f t="shared" si="50"/>
        <v>241.52699999999996</v>
      </c>
      <c r="I26">
        <f t="shared" si="51"/>
        <v>244.69499999999999</v>
      </c>
      <c r="J26" s="1">
        <v>2.8249305555555558E-3</v>
      </c>
      <c r="K26" s="1">
        <v>2.828738425925926E-3</v>
      </c>
      <c r="L26" s="1">
        <v>2.8529398148148147E-3</v>
      </c>
      <c r="M26">
        <f t="shared" si="52"/>
        <v>244.07400000000001</v>
      </c>
      <c r="N26">
        <f t="shared" si="53"/>
        <v>244.40299999999999</v>
      </c>
      <c r="O26">
        <f t="shared" si="54"/>
        <v>246.494</v>
      </c>
      <c r="P26" s="1">
        <v>2.7950347222222222E-3</v>
      </c>
      <c r="Q26">
        <f t="shared" si="24"/>
        <v>241.49099999999999</v>
      </c>
      <c r="R26">
        <v>38789</v>
      </c>
    </row>
    <row r="27" spans="1:19" x14ac:dyDescent="0.35">
      <c r="A27">
        <v>2005</v>
      </c>
      <c r="B27" t="s">
        <v>40</v>
      </c>
      <c r="C27" t="s">
        <v>36</v>
      </c>
      <c r="D27" s="1">
        <v>2.8428124999999999E-3</v>
      </c>
      <c r="E27" s="1">
        <v>2.8931828703703706E-3</v>
      </c>
      <c r="F27" s="1">
        <v>2.8670949074074076E-3</v>
      </c>
      <c r="G27">
        <f t="shared" si="49"/>
        <v>245.619</v>
      </c>
      <c r="H27">
        <f t="shared" si="50"/>
        <v>249.97100000000003</v>
      </c>
      <c r="I27">
        <f t="shared" si="51"/>
        <v>247.71700000000001</v>
      </c>
      <c r="J27" s="1">
        <v>2.8769560185185183E-3</v>
      </c>
      <c r="K27" s="1">
        <v>2.8875347222222223E-3</v>
      </c>
      <c r="L27" s="1">
        <v>2.8943518518518519E-3</v>
      </c>
      <c r="M27">
        <f t="shared" si="52"/>
        <v>248.56899999999999</v>
      </c>
      <c r="N27">
        <f t="shared" si="53"/>
        <v>249.483</v>
      </c>
      <c r="O27">
        <f t="shared" si="54"/>
        <v>250.072</v>
      </c>
      <c r="P27" s="1">
        <v>2.8428124999999999E-3</v>
      </c>
      <c r="Q27">
        <f t="shared" si="24"/>
        <v>245.619</v>
      </c>
      <c r="R27">
        <v>38435</v>
      </c>
      <c r="S27" s="3">
        <f>R27</f>
        <v>38435</v>
      </c>
    </row>
    <row r="28" spans="1:19" x14ac:dyDescent="0.35">
      <c r="A28">
        <v>2004</v>
      </c>
      <c r="B28" t="s">
        <v>40</v>
      </c>
      <c r="C28" t="s">
        <v>22</v>
      </c>
      <c r="D28" s="1">
        <v>2.7815046296296299E-3</v>
      </c>
      <c r="E28" s="1">
        <v>2.7990856481481482E-3</v>
      </c>
      <c r="F28" s="1">
        <v>2.8352777777777777E-3</v>
      </c>
      <c r="G28">
        <f t="shared" si="49"/>
        <v>240.32200000000003</v>
      </c>
      <c r="H28">
        <f t="shared" si="50"/>
        <v>241.84100000000001</v>
      </c>
      <c r="I28">
        <f t="shared" si="51"/>
        <v>244.96799999999999</v>
      </c>
      <c r="J28" s="1">
        <v>2.8247569444444444E-3</v>
      </c>
      <c r="K28" s="1">
        <v>2.8389930555555555E-3</v>
      </c>
      <c r="L28" s="1">
        <v>2.8401504629629632E-3</v>
      </c>
      <c r="M28">
        <f t="shared" si="52"/>
        <v>244.059</v>
      </c>
      <c r="N28">
        <f t="shared" si="53"/>
        <v>245.28899999999999</v>
      </c>
      <c r="O28">
        <f t="shared" si="54"/>
        <v>245.38900000000001</v>
      </c>
      <c r="P28" s="1">
        <v>2.7815046296296299E-3</v>
      </c>
      <c r="Q28">
        <f t="shared" si="24"/>
        <v>240.32200000000003</v>
      </c>
      <c r="R28">
        <v>38133</v>
      </c>
    </row>
    <row r="29" spans="1:19" x14ac:dyDescent="0.35">
      <c r="A29">
        <v>2004</v>
      </c>
      <c r="B29" t="s">
        <v>8</v>
      </c>
      <c r="C29" t="s">
        <v>31</v>
      </c>
      <c r="D29" s="1">
        <v>2.757326388888889E-3</v>
      </c>
      <c r="E29" s="1">
        <v>2.7981481481481481E-3</v>
      </c>
      <c r="F29" s="1">
        <v>2.8417013888888888E-3</v>
      </c>
      <c r="G29">
        <f>D29*86400</f>
        <v>238.233</v>
      </c>
      <c r="H29">
        <f>E29*86400</f>
        <v>241.76</v>
      </c>
      <c r="I29">
        <f>F29*86400</f>
        <v>245.523</v>
      </c>
      <c r="J29" s="1">
        <v>2.7848726851851854E-3</v>
      </c>
      <c r="K29" s="1">
        <v>2.823900462962963E-3</v>
      </c>
      <c r="L29" s="1">
        <v>2.8289467592592593E-3</v>
      </c>
      <c r="M29">
        <f t="shared" si="21"/>
        <v>240.61300000000003</v>
      </c>
      <c r="N29">
        <f t="shared" si="22"/>
        <v>243.98499999999999</v>
      </c>
      <c r="O29">
        <f t="shared" si="23"/>
        <v>244.42100000000002</v>
      </c>
      <c r="P29" s="1">
        <v>2.7385416666666669E-3</v>
      </c>
      <c r="Q29">
        <f t="shared" si="24"/>
        <v>236.61</v>
      </c>
      <c r="R29">
        <v>38213</v>
      </c>
    </row>
    <row r="30" spans="1:19" x14ac:dyDescent="0.35">
      <c r="A30">
        <v>2003</v>
      </c>
      <c r="B30" t="s">
        <v>40</v>
      </c>
      <c r="C30" t="s">
        <v>52</v>
      </c>
      <c r="D30" s="1">
        <v>2.7462962962962962E-3</v>
      </c>
      <c r="E30" s="1">
        <v>2.7850578703703705E-3</v>
      </c>
      <c r="F30" s="1">
        <v>2.8254513888888891E-3</v>
      </c>
      <c r="G30">
        <f t="shared" ref="G30:G33" si="55">D30*86400</f>
        <v>237.28</v>
      </c>
      <c r="H30">
        <f t="shared" ref="H30:H33" si="56">E30*86400</f>
        <v>240.62900000000002</v>
      </c>
      <c r="I30">
        <f t="shared" ref="I30:I33" si="57">F30*86400</f>
        <v>244.11900000000003</v>
      </c>
      <c r="J30" s="1">
        <v>2.8155787037037034E-3</v>
      </c>
      <c r="K30" s="1">
        <v>2.8384722222222223E-3</v>
      </c>
      <c r="L30" s="1">
        <v>2.8634953703703704E-3</v>
      </c>
      <c r="M30">
        <f t="shared" ref="M30:M33" si="58">J30*86400</f>
        <v>243.26599999999996</v>
      </c>
      <c r="N30">
        <f t="shared" ref="N30:N33" si="59">K30*86400</f>
        <v>245.244</v>
      </c>
      <c r="O30">
        <f t="shared" ref="O30:O33" si="60">L30*86400</f>
        <v>247.40600000000001</v>
      </c>
      <c r="P30" s="1">
        <v>2.7462962962962962E-3</v>
      </c>
      <c r="Q30">
        <f t="shared" si="24"/>
        <v>237.28</v>
      </c>
      <c r="R30">
        <v>37832</v>
      </c>
    </row>
    <row r="31" spans="1:19" x14ac:dyDescent="0.35">
      <c r="A31">
        <v>2002</v>
      </c>
      <c r="B31" t="s">
        <v>40</v>
      </c>
      <c r="C31" t="s">
        <v>48</v>
      </c>
      <c r="D31" s="1">
        <v>2.7819675925925924E-3</v>
      </c>
      <c r="E31" s="1">
        <v>2.8632407407407409E-3</v>
      </c>
      <c r="F31" s="1">
        <v>2.8106365740740739E-3</v>
      </c>
      <c r="G31">
        <f t="shared" si="55"/>
        <v>240.36199999999999</v>
      </c>
      <c r="H31">
        <f t="shared" si="56"/>
        <v>247.38400000000001</v>
      </c>
      <c r="I31">
        <f t="shared" si="57"/>
        <v>242.839</v>
      </c>
      <c r="J31" s="1">
        <v>2.8082523148148151E-3</v>
      </c>
      <c r="K31" s="1">
        <v>2.8363425925925926E-3</v>
      </c>
      <c r="L31" s="1">
        <v>2.8613773148148149E-3</v>
      </c>
      <c r="M31">
        <f t="shared" si="58"/>
        <v>242.63300000000001</v>
      </c>
      <c r="N31">
        <f t="shared" si="59"/>
        <v>245.06</v>
      </c>
      <c r="O31">
        <f t="shared" si="60"/>
        <v>247.22300000000001</v>
      </c>
      <c r="P31" s="1">
        <v>2.7819675925925924E-3</v>
      </c>
      <c r="Q31">
        <f t="shared" si="24"/>
        <v>240.36199999999999</v>
      </c>
      <c r="R31">
        <v>37524</v>
      </c>
    </row>
    <row r="32" spans="1:19" x14ac:dyDescent="0.35">
      <c r="A32">
        <v>2001</v>
      </c>
      <c r="B32" t="s">
        <v>40</v>
      </c>
      <c r="C32" t="s">
        <v>27</v>
      </c>
      <c r="D32" s="1">
        <v>2.8900347222222222E-3</v>
      </c>
      <c r="E32" s="1">
        <v>2.9048842592592594E-3</v>
      </c>
      <c r="F32" s="1">
        <v>2.8766203703703701E-3</v>
      </c>
      <c r="G32">
        <f t="shared" si="55"/>
        <v>249.69900000000001</v>
      </c>
      <c r="H32">
        <f t="shared" si="56"/>
        <v>250.982</v>
      </c>
      <c r="I32">
        <f t="shared" si="57"/>
        <v>248.53999999999996</v>
      </c>
      <c r="J32" s="1">
        <v>2.8972453703703703E-3</v>
      </c>
      <c r="K32" s="1">
        <v>2.9100694444444447E-3</v>
      </c>
      <c r="L32" s="1">
        <v>2.9133680555555558E-3</v>
      </c>
      <c r="M32">
        <f t="shared" si="58"/>
        <v>250.322</v>
      </c>
      <c r="N32">
        <f t="shared" si="59"/>
        <v>251.43000000000004</v>
      </c>
      <c r="O32">
        <f t="shared" si="60"/>
        <v>251.71500000000003</v>
      </c>
      <c r="P32" s="1">
        <v>2.8576041666666667E-3</v>
      </c>
      <c r="Q32">
        <f t="shared" si="24"/>
        <v>246.89699999999999</v>
      </c>
      <c r="R32">
        <v>37160</v>
      </c>
    </row>
    <row r="33" spans="1:19" x14ac:dyDescent="0.35">
      <c r="A33">
        <v>2000</v>
      </c>
      <c r="B33" t="s">
        <v>40</v>
      </c>
      <c r="C33" t="s">
        <v>49</v>
      </c>
      <c r="D33" s="1">
        <v>2.8016087962962964E-3</v>
      </c>
      <c r="E33" s="1">
        <v>2.8115162037037037E-3</v>
      </c>
      <c r="F33" s="1">
        <v>2.8429861111111112E-3</v>
      </c>
      <c r="G33">
        <f t="shared" si="55"/>
        <v>242.059</v>
      </c>
      <c r="H33">
        <f t="shared" si="56"/>
        <v>242.91499999999999</v>
      </c>
      <c r="I33">
        <f t="shared" si="57"/>
        <v>245.63400000000001</v>
      </c>
      <c r="J33" s="1">
        <v>2.8586111111111112E-3</v>
      </c>
      <c r="K33" s="1">
        <v>2.8609837962962964E-3</v>
      </c>
      <c r="L33" s="1">
        <v>2.8643865740740743E-3</v>
      </c>
      <c r="M33">
        <f t="shared" si="58"/>
        <v>246.98400000000001</v>
      </c>
      <c r="N33">
        <f t="shared" si="59"/>
        <v>247.18899999999999</v>
      </c>
      <c r="O33">
        <f t="shared" si="60"/>
        <v>247.48300000000003</v>
      </c>
      <c r="P33" s="1">
        <v>2.8016087962962964E-3</v>
      </c>
      <c r="Q33">
        <f t="shared" si="24"/>
        <v>242.059</v>
      </c>
      <c r="R33">
        <v>36824</v>
      </c>
    </row>
    <row r="34" spans="1:19" x14ac:dyDescent="0.35">
      <c r="A34">
        <v>2000</v>
      </c>
      <c r="B34" t="s">
        <v>8</v>
      </c>
      <c r="C34" t="s">
        <v>32</v>
      </c>
      <c r="D34" s="1">
        <v>2.7744212962962965E-3</v>
      </c>
      <c r="E34" s="1">
        <v>2.7744212962962965E-3</v>
      </c>
      <c r="F34" s="1">
        <v>2.8006828703703705E-3</v>
      </c>
      <c r="G34">
        <f>D34*86400</f>
        <v>239.71</v>
      </c>
      <c r="H34">
        <f>E34*86400</f>
        <v>239.71</v>
      </c>
      <c r="I34">
        <f>F34*86400</f>
        <v>241.97900000000001</v>
      </c>
      <c r="J34" s="1">
        <v>2.8244212962962962E-3</v>
      </c>
      <c r="K34" s="1">
        <v>2.824976851851852E-3</v>
      </c>
      <c r="L34" s="1">
        <v>2.8374421296296294E-3</v>
      </c>
      <c r="M34">
        <f t="shared" si="21"/>
        <v>244.03</v>
      </c>
      <c r="N34">
        <f t="shared" si="22"/>
        <v>244.078</v>
      </c>
      <c r="O34">
        <f t="shared" si="23"/>
        <v>245.15499999999997</v>
      </c>
      <c r="P34" s="1">
        <v>2.7744212962962965E-3</v>
      </c>
      <c r="Q34">
        <f t="shared" si="24"/>
        <v>239.71</v>
      </c>
      <c r="R34">
        <v>36786</v>
      </c>
    </row>
    <row r="35" spans="1:19" x14ac:dyDescent="0.35">
      <c r="A35">
        <v>1999</v>
      </c>
      <c r="B35" t="s">
        <v>40</v>
      </c>
      <c r="C35" t="s">
        <v>24</v>
      </c>
      <c r="D35" s="1">
        <v>2.7910185185185186E-3</v>
      </c>
      <c r="E35" s="1">
        <v>2.8236689814814817E-3</v>
      </c>
      <c r="F35" s="1">
        <v>2.8385532407407409E-3</v>
      </c>
      <c r="G35">
        <f t="shared" ref="G35:G38" si="61">D35*86400</f>
        <v>241.14400000000001</v>
      </c>
      <c r="H35">
        <f t="shared" ref="H35:H38" si="62">E35*86400</f>
        <v>243.96500000000003</v>
      </c>
      <c r="I35">
        <f t="shared" ref="I35:I38" si="63">F35*86400</f>
        <v>245.251</v>
      </c>
      <c r="J35" s="1"/>
      <c r="K35" s="1"/>
      <c r="L35" s="1"/>
      <c r="P35" s="1">
        <v>2.7910185185185186E-3</v>
      </c>
      <c r="Q35">
        <f t="shared" si="24"/>
        <v>241.14400000000001</v>
      </c>
      <c r="R35">
        <v>36453</v>
      </c>
    </row>
    <row r="36" spans="1:19" x14ac:dyDescent="0.35">
      <c r="A36">
        <v>1998</v>
      </c>
      <c r="B36" t="s">
        <v>40</v>
      </c>
      <c r="C36" t="s">
        <v>50</v>
      </c>
      <c r="D36" s="1">
        <v>2.8112847222222224E-3</v>
      </c>
      <c r="E36" s="1">
        <v>2.8722222222222222E-3</v>
      </c>
      <c r="F36" s="1"/>
      <c r="G36">
        <f t="shared" si="61"/>
        <v>242.89500000000001</v>
      </c>
      <c r="H36">
        <f t="shared" si="62"/>
        <v>248.16</v>
      </c>
      <c r="J36" s="1"/>
      <c r="K36" s="1"/>
      <c r="L36" s="1"/>
      <c r="P36" s="1">
        <v>2.8112847222222224E-3</v>
      </c>
      <c r="Q36">
        <f t="shared" si="24"/>
        <v>242.89500000000001</v>
      </c>
      <c r="R36">
        <v>36033</v>
      </c>
    </row>
    <row r="37" spans="1:19" x14ac:dyDescent="0.35">
      <c r="A37">
        <v>1997</v>
      </c>
      <c r="B37" t="s">
        <v>40</v>
      </c>
      <c r="C37" t="s">
        <v>53</v>
      </c>
      <c r="D37" s="1">
        <v>2.8961226851851852E-3</v>
      </c>
      <c r="E37" s="1"/>
      <c r="F37" s="1"/>
      <c r="G37">
        <f t="shared" si="61"/>
        <v>250.22499999999999</v>
      </c>
      <c r="J37" s="1"/>
      <c r="K37" s="1"/>
      <c r="L37" s="1"/>
      <c r="P37" s="1">
        <v>2.8961226851851852E-3</v>
      </c>
      <c r="Q37">
        <f t="shared" si="24"/>
        <v>250.22499999999999</v>
      </c>
      <c r="R37">
        <v>35669</v>
      </c>
    </row>
    <row r="38" spans="1:19" x14ac:dyDescent="0.35">
      <c r="A38">
        <v>1996</v>
      </c>
      <c r="B38" t="s">
        <v>40</v>
      </c>
      <c r="C38" t="s">
        <v>49</v>
      </c>
      <c r="D38" s="1">
        <v>2.8096296296296298E-3</v>
      </c>
      <c r="E38" s="1">
        <v>2.8303124999999999E-3</v>
      </c>
      <c r="F38" s="1">
        <v>2.8410069444444442E-3</v>
      </c>
      <c r="G38">
        <f t="shared" si="61"/>
        <v>242.75200000000001</v>
      </c>
      <c r="H38">
        <f t="shared" si="62"/>
        <v>244.53899999999999</v>
      </c>
      <c r="I38">
        <f t="shared" si="63"/>
        <v>245.46299999999997</v>
      </c>
      <c r="J38" s="1"/>
      <c r="K38" s="1"/>
      <c r="L38" s="1"/>
      <c r="P38" s="1">
        <v>2.8096296296296298E-3</v>
      </c>
      <c r="Q38">
        <f t="shared" si="24"/>
        <v>242.75200000000001</v>
      </c>
      <c r="R38">
        <v>35305</v>
      </c>
    </row>
    <row r="39" spans="1:19" x14ac:dyDescent="0.35">
      <c r="A39">
        <v>1996</v>
      </c>
      <c r="B39" t="s">
        <v>8</v>
      </c>
      <c r="C39" t="s">
        <v>33</v>
      </c>
      <c r="D39" s="1">
        <v>2.8464120370370371E-3</v>
      </c>
      <c r="E39" s="1">
        <v>2.8672453703703703E-3</v>
      </c>
      <c r="F39" s="1"/>
      <c r="G39">
        <f t="shared" ref="G39:G53" si="64">D39*86400</f>
        <v>245.93</v>
      </c>
      <c r="H39">
        <f t="shared" ref="H39:H53" si="65">E39*86400</f>
        <v>247.73</v>
      </c>
      <c r="I39">
        <f t="shared" ref="I39:I53" si="66">F39*86400</f>
        <v>0</v>
      </c>
      <c r="J39" s="1">
        <v>2.8885416666666664E-3</v>
      </c>
      <c r="K39" s="1">
        <v>2.8899884259259261E-3</v>
      </c>
      <c r="L39" s="1">
        <v>2.890625E-3</v>
      </c>
      <c r="M39">
        <f t="shared" si="21"/>
        <v>249.57</v>
      </c>
      <c r="N39">
        <f t="shared" si="22"/>
        <v>249.69500000000002</v>
      </c>
      <c r="O39">
        <f t="shared" si="23"/>
        <v>249.75</v>
      </c>
      <c r="P39" s="1">
        <v>2.8464120370370371E-3</v>
      </c>
      <c r="Q39">
        <f t="shared" si="24"/>
        <v>245.93</v>
      </c>
      <c r="R39">
        <v>35272</v>
      </c>
    </row>
    <row r="40" spans="1:19" x14ac:dyDescent="0.35">
      <c r="A40">
        <v>1992</v>
      </c>
      <c r="B40" t="s">
        <v>8</v>
      </c>
      <c r="C40" t="s">
        <v>34</v>
      </c>
      <c r="D40" s="1">
        <v>2.8795254629629631E-3</v>
      </c>
      <c r="E40" s="1">
        <v>2.8960416666666666E-3</v>
      </c>
      <c r="F40" s="1">
        <v>2.9613425925925927E-3</v>
      </c>
      <c r="G40">
        <f t="shared" si="64"/>
        <v>248.791</v>
      </c>
      <c r="H40">
        <f t="shared" si="65"/>
        <v>250.21799999999999</v>
      </c>
      <c r="I40">
        <f t="shared" si="66"/>
        <v>255.86</v>
      </c>
      <c r="J40" s="1">
        <v>2.9079282407407409E-3</v>
      </c>
      <c r="K40" s="1">
        <v>2.9506250000000001E-3</v>
      </c>
      <c r="L40" s="1">
        <v>2.9525810185185184E-3</v>
      </c>
      <c r="M40">
        <f t="shared" si="21"/>
        <v>251.245</v>
      </c>
      <c r="N40">
        <f t="shared" si="22"/>
        <v>254.934</v>
      </c>
      <c r="O40">
        <f t="shared" si="23"/>
        <v>255.10299999999998</v>
      </c>
      <c r="P40" s="1">
        <v>2.8795254629629631E-3</v>
      </c>
      <c r="Q40">
        <f t="shared" si="24"/>
        <v>248.791</v>
      </c>
      <c r="R40">
        <v>33815</v>
      </c>
    </row>
    <row r="41" spans="1:19" x14ac:dyDescent="0.35">
      <c r="A41">
        <v>1988</v>
      </c>
      <c r="B41" t="s">
        <v>8</v>
      </c>
      <c r="C41" t="s">
        <v>35</v>
      </c>
      <c r="D41" s="1">
        <v>2.9318287037037039E-3</v>
      </c>
      <c r="E41" s="1">
        <v>2.9408564814814814E-3</v>
      </c>
      <c r="F41" s="1">
        <v>2.9631944444444441E-3</v>
      </c>
      <c r="G41">
        <f t="shared" si="64"/>
        <v>253.31</v>
      </c>
      <c r="H41">
        <f t="shared" si="65"/>
        <v>254.09</v>
      </c>
      <c r="I41">
        <f t="shared" si="66"/>
        <v>256.02</v>
      </c>
      <c r="J41" s="1">
        <v>2.9641203703703704E-3</v>
      </c>
      <c r="K41" s="1">
        <v>2.9666666666666665E-3</v>
      </c>
      <c r="L41" s="1">
        <v>2.976736111111111E-3</v>
      </c>
      <c r="M41">
        <f t="shared" si="21"/>
        <v>256.10000000000002</v>
      </c>
      <c r="N41">
        <f t="shared" si="22"/>
        <v>256.32</v>
      </c>
      <c r="O41">
        <f t="shared" si="23"/>
        <v>257.19</v>
      </c>
      <c r="P41" s="1">
        <v>2.9318287037037039E-3</v>
      </c>
      <c r="Q41">
        <f t="shared" si="24"/>
        <v>253.31</v>
      </c>
      <c r="R41">
        <v>32409</v>
      </c>
    </row>
    <row r="42" spans="1:19" x14ac:dyDescent="0.35">
      <c r="A42">
        <v>1984</v>
      </c>
      <c r="B42" t="s">
        <v>8</v>
      </c>
      <c r="C42" t="s">
        <v>36</v>
      </c>
      <c r="D42" s="1">
        <v>3.0740740740740741E-3</v>
      </c>
      <c r="E42" s="1">
        <v>3.123263888888889E-3</v>
      </c>
      <c r="F42" s="1">
        <v>3.0891203703703701E-3</v>
      </c>
      <c r="G42">
        <f t="shared" si="64"/>
        <v>265.60000000000002</v>
      </c>
      <c r="H42">
        <f t="shared" si="65"/>
        <v>269.85000000000002</v>
      </c>
      <c r="I42">
        <f t="shared" si="66"/>
        <v>266.89999999999998</v>
      </c>
      <c r="J42" s="1">
        <v>3.1072916666666671E-3</v>
      </c>
      <c r="K42" s="1">
        <v>3.1109953703703707E-3</v>
      </c>
      <c r="L42" s="1">
        <v>3.1130787037037038E-3</v>
      </c>
      <c r="M42">
        <f t="shared" si="21"/>
        <v>268.47000000000003</v>
      </c>
      <c r="N42">
        <f t="shared" si="22"/>
        <v>268.79000000000002</v>
      </c>
      <c r="O42">
        <f t="shared" si="23"/>
        <v>268.97000000000003</v>
      </c>
      <c r="P42" s="1">
        <v>3.0504629629629632E-3</v>
      </c>
      <c r="Q42">
        <f t="shared" si="24"/>
        <v>263.56</v>
      </c>
      <c r="R42">
        <v>30896</v>
      </c>
      <c r="S42" s="3"/>
    </row>
    <row r="43" spans="1:19" x14ac:dyDescent="0.35">
      <c r="A43">
        <v>1980</v>
      </c>
      <c r="B43" t="s">
        <v>8</v>
      </c>
      <c r="C43" t="s">
        <v>37</v>
      </c>
      <c r="D43" s="1">
        <v>2.9594907407407404E-3</v>
      </c>
      <c r="E43" s="1">
        <v>3.005439814814815E-3</v>
      </c>
      <c r="F43" s="1">
        <v>2.893634259259259E-3</v>
      </c>
      <c r="G43">
        <f t="shared" si="64"/>
        <v>255.69999999999996</v>
      </c>
      <c r="H43">
        <f t="shared" si="65"/>
        <v>259.67</v>
      </c>
      <c r="I43">
        <f t="shared" si="66"/>
        <v>250.01</v>
      </c>
      <c r="J43" s="1">
        <v>2.9701388888888889E-3</v>
      </c>
      <c r="K43" s="1">
        <v>2.988888888888889E-3</v>
      </c>
      <c r="L43" s="1">
        <v>2.9959490740740745E-3</v>
      </c>
      <c r="M43">
        <f t="shared" si="21"/>
        <v>256.62</v>
      </c>
      <c r="N43">
        <f t="shared" si="22"/>
        <v>258.24</v>
      </c>
      <c r="O43">
        <f t="shared" si="23"/>
        <v>258.85000000000002</v>
      </c>
      <c r="P43" s="1">
        <v>2.893634259259259E-3</v>
      </c>
      <c r="Q43">
        <f t="shared" si="24"/>
        <v>250.01</v>
      </c>
      <c r="R43">
        <v>29427</v>
      </c>
    </row>
    <row r="44" spans="1:19" x14ac:dyDescent="0.35">
      <c r="A44">
        <v>1976</v>
      </c>
      <c r="B44" t="s">
        <v>8</v>
      </c>
      <c r="C44" t="s">
        <v>38</v>
      </c>
      <c r="D44" s="1">
        <v>3.0215277777777779E-3</v>
      </c>
      <c r="E44" s="1">
        <v>3.0920138888888885E-3</v>
      </c>
      <c r="F44" s="1">
        <v>3.0371527777777779E-3</v>
      </c>
      <c r="G44">
        <f t="shared" si="64"/>
        <v>261.06</v>
      </c>
      <c r="H44">
        <f t="shared" si="65"/>
        <v>267.14999999999998</v>
      </c>
      <c r="I44">
        <f t="shared" si="66"/>
        <v>262.41000000000003</v>
      </c>
      <c r="J44" s="1">
        <v>3.0517361111111114E-3</v>
      </c>
      <c r="K44" s="1">
        <v>3.056828703703704E-3</v>
      </c>
      <c r="L44" s="1">
        <v>3.0592592592592594E-3</v>
      </c>
      <c r="M44">
        <f t="shared" si="21"/>
        <v>263.67</v>
      </c>
      <c r="N44">
        <f t="shared" si="22"/>
        <v>264.11</v>
      </c>
      <c r="O44">
        <f t="shared" si="23"/>
        <v>264.32</v>
      </c>
      <c r="P44" s="1">
        <v>3.0104166666666669E-3</v>
      </c>
      <c r="Q44">
        <f t="shared" si="24"/>
        <v>260.10000000000002</v>
      </c>
      <c r="R44">
        <v>27964</v>
      </c>
    </row>
    <row r="45" spans="1:19" x14ac:dyDescent="0.35">
      <c r="A45">
        <v>1972</v>
      </c>
      <c r="B45" t="s">
        <v>8</v>
      </c>
      <c r="C45" t="s">
        <v>39</v>
      </c>
      <c r="D45" s="1">
        <v>3.0340277777777774E-3</v>
      </c>
      <c r="E45" s="1">
        <v>3.0700231481481481E-3</v>
      </c>
      <c r="F45" s="1">
        <v>3.0530092592592588E-3</v>
      </c>
      <c r="G45">
        <f t="shared" si="64"/>
        <v>262.14</v>
      </c>
      <c r="H45">
        <f t="shared" si="65"/>
        <v>265.25</v>
      </c>
      <c r="I45">
        <f t="shared" si="66"/>
        <v>263.77999999999997</v>
      </c>
      <c r="J45" s="1">
        <v>3.0502314814814819E-3</v>
      </c>
      <c r="K45" s="1">
        <v>3.0726851851851852E-3</v>
      </c>
      <c r="L45" s="1">
        <v>3.0848379629629628E-3</v>
      </c>
      <c r="M45">
        <f t="shared" si="21"/>
        <v>263.54000000000002</v>
      </c>
      <c r="N45">
        <f t="shared" si="22"/>
        <v>265.48</v>
      </c>
      <c r="O45">
        <f t="shared" si="23"/>
        <v>266.52999999999997</v>
      </c>
      <c r="P45" s="1">
        <v>3.0340277777777774E-3</v>
      </c>
      <c r="Q45">
        <f t="shared" si="24"/>
        <v>262.14</v>
      </c>
      <c r="R45">
        <v>26544</v>
      </c>
    </row>
    <row r="46" spans="1:19" x14ac:dyDescent="0.35">
      <c r="A46">
        <v>1968</v>
      </c>
      <c r="B46" t="s">
        <v>8</v>
      </c>
      <c r="C46" t="s">
        <v>18</v>
      </c>
      <c r="D46" s="1">
        <v>3.0374999999999998E-3</v>
      </c>
      <c r="E46" s="1">
        <v>2.9601851851851851E-3</v>
      </c>
      <c r="F46" s="1">
        <v>2.9901620370370373E-3</v>
      </c>
      <c r="G46">
        <f t="shared" si="64"/>
        <v>262.44</v>
      </c>
      <c r="H46">
        <f t="shared" si="65"/>
        <v>255.76</v>
      </c>
      <c r="I46">
        <f t="shared" si="66"/>
        <v>258.35000000000002</v>
      </c>
      <c r="J46" s="1">
        <v>2.9641203703703704E-3</v>
      </c>
      <c r="K46" s="1">
        <v>3.001041666666667E-3</v>
      </c>
      <c r="L46" s="1">
        <v>3.0081018518518516E-3</v>
      </c>
      <c r="M46">
        <f t="shared" si="21"/>
        <v>256.10000000000002</v>
      </c>
      <c r="N46">
        <f t="shared" si="22"/>
        <v>259.29000000000002</v>
      </c>
      <c r="O46">
        <f t="shared" si="23"/>
        <v>259.89999999999998</v>
      </c>
      <c r="P46" s="1">
        <v>2.9601851851851851E-3</v>
      </c>
      <c r="Q46">
        <f t="shared" si="24"/>
        <v>255.76</v>
      </c>
      <c r="R46">
        <v>25130</v>
      </c>
    </row>
    <row r="47" spans="1:19" x14ac:dyDescent="0.35">
      <c r="A47">
        <v>1964</v>
      </c>
      <c r="B47" t="s">
        <v>8</v>
      </c>
      <c r="C47" t="s">
        <v>19</v>
      </c>
      <c r="D47" s="1">
        <v>3.1906250000000003E-3</v>
      </c>
      <c r="E47" s="1">
        <v>3.1914351851851852E-3</v>
      </c>
      <c r="F47" s="1">
        <v>3.229050925925926E-3</v>
      </c>
      <c r="G47">
        <f t="shared" si="64"/>
        <v>275.67</v>
      </c>
      <c r="H47">
        <f t="shared" si="65"/>
        <v>275.74</v>
      </c>
      <c r="I47">
        <f t="shared" si="66"/>
        <v>278.99</v>
      </c>
      <c r="J47" s="1">
        <v>3.2298611111111113E-3</v>
      </c>
      <c r="K47" s="1">
        <v>3.2671296296296294E-3</v>
      </c>
      <c r="L47" s="1">
        <v>3.2842592592592593E-3</v>
      </c>
      <c r="M47">
        <f t="shared" si="21"/>
        <v>279.06</v>
      </c>
      <c r="N47">
        <f t="shared" si="22"/>
        <v>282.27999999999997</v>
      </c>
      <c r="O47">
        <f t="shared" si="23"/>
        <v>283.76</v>
      </c>
      <c r="P47" s="1">
        <v>3.1906250000000003E-3</v>
      </c>
      <c r="Q47">
        <f t="shared" si="24"/>
        <v>275.67</v>
      </c>
      <c r="R47">
        <v>23668</v>
      </c>
    </row>
    <row r="48" spans="1:19" x14ac:dyDescent="0.35">
      <c r="A48">
        <v>1960</v>
      </c>
      <c r="B48" t="s">
        <v>8</v>
      </c>
      <c r="C48" t="s">
        <v>20</v>
      </c>
      <c r="D48" s="1">
        <v>3.1354166666666666E-3</v>
      </c>
      <c r="E48" s="1">
        <v>3.1918981481481477E-3</v>
      </c>
      <c r="F48" s="1">
        <v>3.1718750000000002E-3</v>
      </c>
      <c r="G48">
        <f t="shared" si="64"/>
        <v>270.89999999999998</v>
      </c>
      <c r="H48">
        <f t="shared" si="65"/>
        <v>275.77999999999997</v>
      </c>
      <c r="I48">
        <f t="shared" si="66"/>
        <v>274.05</v>
      </c>
      <c r="J48" s="1">
        <v>3.2223379629629624E-3</v>
      </c>
      <c r="K48" s="1">
        <v>3.2229166666666665E-3</v>
      </c>
      <c r="L48" s="1">
        <v>3.244560185185185E-3</v>
      </c>
      <c r="M48">
        <f t="shared" si="21"/>
        <v>278.40999999999997</v>
      </c>
      <c r="N48">
        <f t="shared" si="22"/>
        <v>278.45999999999998</v>
      </c>
      <c r="O48">
        <f t="shared" si="23"/>
        <v>280.33</v>
      </c>
      <c r="P48" s="1">
        <v>3.1120370370370369E-3</v>
      </c>
      <c r="Q48">
        <f t="shared" si="24"/>
        <v>268.88</v>
      </c>
      <c r="R48">
        <v>22155</v>
      </c>
    </row>
    <row r="49" spans="1:18" x14ac:dyDescent="0.35">
      <c r="A49">
        <v>1956</v>
      </c>
      <c r="B49" t="s">
        <v>8</v>
      </c>
      <c r="C49" t="s">
        <v>22</v>
      </c>
      <c r="D49" s="1">
        <v>3.2106481481481478E-3</v>
      </c>
      <c r="E49" s="1">
        <v>3.2337962962962962E-3</v>
      </c>
      <c r="F49" s="1">
        <v>3.2662037037037035E-3</v>
      </c>
      <c r="G49">
        <f t="shared" si="64"/>
        <v>277.39999999999998</v>
      </c>
      <c r="H49">
        <f t="shared" si="65"/>
        <v>279.39999999999998</v>
      </c>
      <c r="I49">
        <f t="shared" si="66"/>
        <v>282.2</v>
      </c>
      <c r="J49" s="1">
        <v>3.2962962962962963E-3</v>
      </c>
      <c r="K49" s="1">
        <v>3.3333333333333335E-3</v>
      </c>
      <c r="L49" s="1">
        <v>3.3750000000000004E-3</v>
      </c>
      <c r="M49">
        <f t="shared" si="21"/>
        <v>284.8</v>
      </c>
      <c r="N49">
        <f t="shared" si="22"/>
        <v>288</v>
      </c>
      <c r="O49">
        <f t="shared" si="23"/>
        <v>291.60000000000002</v>
      </c>
      <c r="P49" s="1">
        <v>3.2106481481481478E-3</v>
      </c>
      <c r="Q49">
        <f t="shared" si="24"/>
        <v>277.39999999999998</v>
      </c>
      <c r="R49">
        <v>20792</v>
      </c>
    </row>
    <row r="50" spans="1:18" x14ac:dyDescent="0.35">
      <c r="A50">
        <v>1952</v>
      </c>
      <c r="B50" t="s">
        <v>8</v>
      </c>
      <c r="C50" t="s">
        <v>21</v>
      </c>
      <c r="D50" s="1">
        <v>3.3113425925925927E-3</v>
      </c>
      <c r="E50" s="1">
        <v>3.3981481481481484E-3</v>
      </c>
      <c r="F50" s="1">
        <v>3.3738425925925928E-3</v>
      </c>
      <c r="G50">
        <f t="shared" si="64"/>
        <v>286.10000000000002</v>
      </c>
      <c r="H50">
        <f t="shared" si="65"/>
        <v>293.60000000000002</v>
      </c>
      <c r="I50">
        <f t="shared" si="66"/>
        <v>291.5</v>
      </c>
      <c r="J50" s="1">
        <v>3.3541666666666668E-3</v>
      </c>
      <c r="K50" s="1">
        <v>3.3634259259259264E-3</v>
      </c>
      <c r="L50" s="1">
        <v>3.3842592592592592E-3</v>
      </c>
      <c r="M50">
        <f t="shared" si="21"/>
        <v>289.8</v>
      </c>
      <c r="N50">
        <f t="shared" si="22"/>
        <v>290.60000000000002</v>
      </c>
      <c r="O50">
        <f t="shared" si="23"/>
        <v>292.39999999999998</v>
      </c>
      <c r="P50" s="1">
        <v>3.2546296296296295E-3</v>
      </c>
      <c r="Q50">
        <f t="shared" si="24"/>
        <v>281.2</v>
      </c>
      <c r="R50">
        <v>19203</v>
      </c>
    </row>
    <row r="51" spans="1:18" x14ac:dyDescent="0.35">
      <c r="A51">
        <v>1948</v>
      </c>
      <c r="B51" t="s">
        <v>8</v>
      </c>
      <c r="C51" t="s">
        <v>23</v>
      </c>
      <c r="D51" s="1">
        <v>3.4467592592592592E-3</v>
      </c>
      <c r="E51" s="1">
        <v>3.4780092592592592E-3</v>
      </c>
      <c r="F51" s="1">
        <v>3.4236111111111112E-3</v>
      </c>
      <c r="G51">
        <f t="shared" si="64"/>
        <v>297.8</v>
      </c>
      <c r="H51">
        <f t="shared" si="65"/>
        <v>300.5</v>
      </c>
      <c r="I51">
        <f t="shared" si="66"/>
        <v>295.8</v>
      </c>
      <c r="J51" s="1">
        <v>3.5138888888888893E-3</v>
      </c>
      <c r="K51" s="1">
        <v>3.5196759259259261E-3</v>
      </c>
      <c r="L51" s="1">
        <v>3.5358796296296297E-3</v>
      </c>
      <c r="M51">
        <f t="shared" si="21"/>
        <v>303.60000000000002</v>
      </c>
      <c r="N51">
        <f t="shared" si="22"/>
        <v>304.10000000000002</v>
      </c>
      <c r="O51">
        <f t="shared" si="23"/>
        <v>305.5</v>
      </c>
      <c r="P51" s="1">
        <v>3.4074074074074072E-3</v>
      </c>
      <c r="Q51">
        <f t="shared" si="24"/>
        <v>294.39999999999998</v>
      </c>
      <c r="R51">
        <v>17752</v>
      </c>
    </row>
    <row r="52" spans="1:18" x14ac:dyDescent="0.35">
      <c r="A52">
        <v>1936</v>
      </c>
      <c r="B52" t="s">
        <v>8</v>
      </c>
      <c r="C52" t="s">
        <v>24</v>
      </c>
      <c r="D52" s="1">
        <v>3.2987268518518517E-3</v>
      </c>
      <c r="E52" s="1">
        <v>3.3692129629629632E-3</v>
      </c>
      <c r="F52" s="1">
        <v>3.3981481481481484E-3</v>
      </c>
      <c r="G52">
        <f t="shared" si="64"/>
        <v>285.01</v>
      </c>
      <c r="H52">
        <f t="shared" si="65"/>
        <v>291.10000000000002</v>
      </c>
      <c r="I52">
        <f t="shared" si="66"/>
        <v>293.60000000000002</v>
      </c>
      <c r="J52" s="1">
        <v>3.2615740740740743E-3</v>
      </c>
      <c r="K52" s="1">
        <v>3.3402777777777779E-3</v>
      </c>
      <c r="L52" s="1">
        <v>3.3495370370370367E-3</v>
      </c>
      <c r="M52">
        <f t="shared" si="21"/>
        <v>281.8</v>
      </c>
      <c r="N52">
        <f t="shared" si="22"/>
        <v>288.60000000000002</v>
      </c>
      <c r="O52">
        <f t="shared" si="23"/>
        <v>289.39999999999998</v>
      </c>
      <c r="P52" s="1">
        <v>3.2615740740740743E-3</v>
      </c>
      <c r="Q52">
        <f t="shared" si="24"/>
        <v>281.8</v>
      </c>
      <c r="R52">
        <v>13368</v>
      </c>
    </row>
    <row r="53" spans="1:18" x14ac:dyDescent="0.35">
      <c r="A53">
        <v>1932</v>
      </c>
      <c r="B53" t="s">
        <v>8</v>
      </c>
      <c r="C53" t="s">
        <v>25</v>
      </c>
      <c r="D53" s="1">
        <v>3.3913194444444442E-3</v>
      </c>
      <c r="E53" s="1">
        <v>3.4224537037037036E-3</v>
      </c>
      <c r="F53" s="1">
        <v>3.4260416666666666E-3</v>
      </c>
      <c r="G53">
        <f t="shared" si="64"/>
        <v>293.01</v>
      </c>
      <c r="H53">
        <f t="shared" si="65"/>
        <v>295.7</v>
      </c>
      <c r="I53">
        <f t="shared" si="66"/>
        <v>296.01</v>
      </c>
      <c r="J53" s="1">
        <v>3.390046296296296E-3</v>
      </c>
      <c r="K53" s="1">
        <v>3.4074074074074072E-3</v>
      </c>
      <c r="L53" s="1">
        <v>3.4513888888888888E-3</v>
      </c>
      <c r="M53">
        <f t="shared" si="21"/>
        <v>292.89999999999998</v>
      </c>
      <c r="N53">
        <f t="shared" si="22"/>
        <v>294.39999999999998</v>
      </c>
      <c r="O53">
        <f t="shared" si="23"/>
        <v>298.2</v>
      </c>
      <c r="P53" s="1">
        <v>3.390046296296296E-3</v>
      </c>
      <c r="Q53">
        <f t="shared" si="24"/>
        <v>292.89999999999998</v>
      </c>
      <c r="R53">
        <v>11903</v>
      </c>
    </row>
    <row r="54" spans="1:18" x14ac:dyDescent="0.35">
      <c r="A54">
        <v>1928</v>
      </c>
      <c r="B54" t="s">
        <v>8</v>
      </c>
      <c r="C54" t="s">
        <v>26</v>
      </c>
      <c r="D54" s="1">
        <v>3.4930555555555557E-3</v>
      </c>
      <c r="E54" s="1">
        <v>3.5439814814814813E-3</v>
      </c>
      <c r="F54" s="1"/>
      <c r="G54">
        <f>D54*86400</f>
        <v>301.8</v>
      </c>
      <c r="H54">
        <f>E54*86400</f>
        <v>306.2</v>
      </c>
      <c r="J54" s="1">
        <v>3.4907407407407409E-3</v>
      </c>
      <c r="K54" s="1">
        <v>3.5277777777777781E-3</v>
      </c>
      <c r="L54" s="1">
        <v>3.5439814814814813E-3</v>
      </c>
      <c r="M54">
        <f t="shared" si="21"/>
        <v>301.60000000000002</v>
      </c>
      <c r="N54">
        <f t="shared" si="22"/>
        <v>304.8</v>
      </c>
      <c r="O54">
        <f t="shared" si="23"/>
        <v>306.2</v>
      </c>
      <c r="P54" s="1">
        <v>3.4930555555555557E-3</v>
      </c>
      <c r="Q54">
        <f t="shared" si="24"/>
        <v>301.8</v>
      </c>
      <c r="R54">
        <v>10445</v>
      </c>
    </row>
    <row r="55" spans="1:18" x14ac:dyDescent="0.35">
      <c r="A55">
        <v>1924</v>
      </c>
      <c r="B55" t="s">
        <v>8</v>
      </c>
      <c r="C55" t="s">
        <v>28</v>
      </c>
      <c r="D55" s="1">
        <v>3.645949074074074E-3</v>
      </c>
      <c r="E55" s="1">
        <v>3.7395833333333335E-3</v>
      </c>
      <c r="F55" s="1">
        <v>3.6134259259259257E-3</v>
      </c>
      <c r="G55">
        <f>D55*86400</f>
        <v>315.01</v>
      </c>
      <c r="H55">
        <f>E55*86400</f>
        <v>323.10000000000002</v>
      </c>
      <c r="I55">
        <f>F55*86400</f>
        <v>312.2</v>
      </c>
      <c r="J55" s="1">
        <v>3.6041666666666665E-3</v>
      </c>
      <c r="K55" s="1">
        <v>3.6111111111111109E-3</v>
      </c>
      <c r="L55" s="1">
        <v>3.6574074074074074E-3</v>
      </c>
      <c r="M55">
        <f t="shared" si="21"/>
        <v>311.39999999999998</v>
      </c>
      <c r="N55">
        <f t="shared" si="22"/>
        <v>312</v>
      </c>
      <c r="O55">
        <f t="shared" si="23"/>
        <v>316</v>
      </c>
      <c r="P55" s="1">
        <v>3.6041666666666665E-3</v>
      </c>
      <c r="Q55">
        <f t="shared" si="24"/>
        <v>311.39999999999998</v>
      </c>
      <c r="R55">
        <v>8974</v>
      </c>
    </row>
    <row r="56" spans="1:18" x14ac:dyDescent="0.35">
      <c r="A56">
        <v>1920</v>
      </c>
      <c r="B56" t="s">
        <v>8</v>
      </c>
      <c r="C56" t="s">
        <v>27</v>
      </c>
      <c r="D56" s="1">
        <v>3.6365740740740738E-3</v>
      </c>
      <c r="E56" s="1"/>
      <c r="F56" s="1"/>
      <c r="G56">
        <f>D56*86400</f>
        <v>314.2</v>
      </c>
      <c r="J56" s="1">
        <v>3.7152777777777778E-3</v>
      </c>
      <c r="K56" s="1">
        <v>3.7476851851851855E-3</v>
      </c>
      <c r="L56" s="1">
        <v>4.3796296296296292E-3</v>
      </c>
      <c r="M56">
        <f t="shared" si="21"/>
        <v>321</v>
      </c>
      <c r="N56">
        <f t="shared" si="22"/>
        <v>323.8</v>
      </c>
      <c r="O56">
        <f t="shared" si="23"/>
        <v>378.4</v>
      </c>
      <c r="P56" s="1">
        <v>3.5972222222222221E-3</v>
      </c>
      <c r="Q56">
        <f t="shared" si="24"/>
        <v>310.8</v>
      </c>
      <c r="R56">
        <v>7527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Anja Kuys</cp:lastModifiedBy>
  <dcterms:created xsi:type="dcterms:W3CDTF">2024-04-22T00:28:57Z</dcterms:created>
  <dcterms:modified xsi:type="dcterms:W3CDTF">2026-08-23T21:36:02Z</dcterms:modified>
</cp:coreProperties>
</file>