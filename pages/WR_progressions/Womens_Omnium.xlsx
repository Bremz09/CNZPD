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mB\CNZPD\pages\WR_progressions\"/>
    </mc:Choice>
  </mc:AlternateContent>
  <xr:revisionPtr revIDLastSave="0" documentId="13_ncr:1_{4344C346-1300-46AE-AA92-19713C06B0F7}" xr6:coauthVersionLast="47" xr6:coauthVersionMax="47" xr10:uidLastSave="{00000000-0000-0000-0000-000000000000}"/>
  <bookViews>
    <workbookView xWindow="-98" yWindow="-98" windowWidth="19396" windowHeight="11475" activeTab="3" xr2:uid="{8F2B8F41-998D-4BB8-BE11-A97939F5BC1E}"/>
  </bookViews>
  <sheets>
    <sheet name="Scratch" sheetId="1" r:id="rId1"/>
    <sheet name="Tempo" sheetId="2" r:id="rId2"/>
    <sheet name="Elim" sheetId="3" r:id="rId3"/>
    <sheet name="Points" sheetId="4" r:id="rId4"/>
  </sheets>
  <definedNames>
    <definedName name="_xlnm._FilterDatabase" localSheetId="3" hidden="1">Tempo!$A$1:$L$94</definedName>
    <definedName name="_xlnm._FilterDatabase" localSheetId="0" hidden="1">Scratch!#REF!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2" l="1"/>
  <c r="J3" i="2"/>
  <c r="J4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5" i="2"/>
  <c r="Q3" i="4"/>
  <c r="Q4" i="4"/>
  <c r="Q2" i="4"/>
</calcChain>
</file>

<file path=xl/sharedStrings.xml><?xml version="1.0" encoding="utf-8"?>
<sst xmlns="http://schemas.openxmlformats.org/spreadsheetml/2006/main" count="1070" uniqueCount="123">
  <si>
    <t>Location</t>
  </si>
  <si>
    <t>Year</t>
  </si>
  <si>
    <t>Date</t>
  </si>
  <si>
    <t>Event</t>
  </si>
  <si>
    <t>Country</t>
  </si>
  <si>
    <t>Rank</t>
  </si>
  <si>
    <t>P.Laps</t>
  </si>
  <si>
    <t>Total</t>
  </si>
  <si>
    <t>Avg Speed</t>
  </si>
  <si>
    <t>Konya</t>
  </si>
  <si>
    <t>NC</t>
  </si>
  <si>
    <t>NED</t>
  </si>
  <si>
    <t>BEL</t>
  </si>
  <si>
    <t>Ballerup</t>
  </si>
  <si>
    <t>WCH</t>
  </si>
  <si>
    <t>DEN</t>
  </si>
  <si>
    <t>Paris</t>
  </si>
  <si>
    <t>OLY</t>
  </si>
  <si>
    <t>POR</t>
  </si>
  <si>
    <t>ITA</t>
  </si>
  <si>
    <t>Milton</t>
  </si>
  <si>
    <t>Hong Kong</t>
  </si>
  <si>
    <t>NZL</t>
  </si>
  <si>
    <t>JPN</t>
  </si>
  <si>
    <t>Adelaide</t>
  </si>
  <si>
    <t>GBR</t>
  </si>
  <si>
    <t>Glasgow</t>
  </si>
  <si>
    <t>FRA</t>
  </si>
  <si>
    <t>Cairo</t>
  </si>
  <si>
    <t>Jakarta</t>
  </si>
  <si>
    <t>Cali</t>
  </si>
  <si>
    <t>MEX</t>
  </si>
  <si>
    <t>COL</t>
  </si>
  <si>
    <t>Roubaix</t>
  </si>
  <si>
    <t>Tokyo</t>
  </si>
  <si>
    <t>St Petersburg</t>
  </si>
  <si>
    <t>RUS</t>
  </si>
  <si>
    <t>Berlin</t>
  </si>
  <si>
    <t>Brisbane</t>
  </si>
  <si>
    <t>AUS</t>
  </si>
  <si>
    <t>Cambridge</t>
  </si>
  <si>
    <t>Minsk</t>
  </si>
  <si>
    <t>Pruszkow</t>
  </si>
  <si>
    <t>Sprints Won</t>
  </si>
  <si>
    <t>Sprints Scored</t>
  </si>
  <si>
    <t>Name</t>
  </si>
  <si>
    <t>Age</t>
  </si>
  <si>
    <t>BLR</t>
  </si>
  <si>
    <t>London</t>
  </si>
  <si>
    <t>USA</t>
  </si>
  <si>
    <t>CAN</t>
  </si>
  <si>
    <t>IRL</t>
  </si>
  <si>
    <t>POL</t>
  </si>
  <si>
    <t>Scratch</t>
  </si>
  <si>
    <t>Tempo</t>
  </si>
  <si>
    <t>Elimination</t>
  </si>
  <si>
    <t>Sub Total</t>
  </si>
  <si>
    <t>Final</t>
  </si>
  <si>
    <t>Points Total</t>
  </si>
  <si>
    <t>Santiago</t>
  </si>
  <si>
    <t>CHN</t>
  </si>
  <si>
    <t>UKR</t>
  </si>
  <si>
    <t>UCHINO Tsuyaka</t>
  </si>
  <si>
    <t>ACEVEDO MENDOZA Yareli</t>
  </si>
  <si>
    <t>VALENTE Jennifer</t>
  </si>
  <si>
    <t>ARCHIBALD Katie</t>
  </si>
  <si>
    <t>KAJIHARA Yumi</t>
  </si>
  <si>
    <t>WOLLASTON Ally</t>
  </si>
  <si>
    <t>BARRACLOUGH Ngaire</t>
  </si>
  <si>
    <t>COPPONI Clara</t>
  </si>
  <si>
    <t>PIKULIK Daria</t>
  </si>
  <si>
    <t>BALEIŠYTE Olivija</t>
  </si>
  <si>
    <t>LTU</t>
  </si>
  <si>
    <t>KENNY Laura</t>
  </si>
  <si>
    <t>EDMONDSON Annette</t>
  </si>
  <si>
    <t>D'HOORE Jolien</t>
  </si>
  <si>
    <t>KOPECKY Lotte</t>
  </si>
  <si>
    <t>PATERNOSTER Letizia</t>
  </si>
  <si>
    <t>WILD Kirsten</t>
  </si>
  <si>
    <t>ROBERTS Jessica</t>
  </si>
  <si>
    <t>BORRAS Marion</t>
  </si>
  <si>
    <t>BOSSUYT Shari</t>
  </si>
  <si>
    <t>VAN BELLE Lisa</t>
  </si>
  <si>
    <t>GILLESPIE Lara</t>
  </si>
  <si>
    <t>VELASCO FUENTES Victoria</t>
  </si>
  <si>
    <t>HERNANDEZ GOMEZ Lina Marcela</t>
  </si>
  <si>
    <t>BOTHA Bryony</t>
  </si>
  <si>
    <t>RKD</t>
  </si>
  <si>
    <t>FORTIN Valentine</t>
  </si>
  <si>
    <t>VAN DER DUIN Maike</t>
  </si>
  <si>
    <t>DIDERIKSEN Amalie</t>
  </si>
  <si>
    <t>BERTEAU Victoire</t>
  </si>
  <si>
    <t>STENBERG Anita Yvonne</t>
  </si>
  <si>
    <t>NOR</t>
  </si>
  <si>
    <t>MARTINS Maria</t>
  </si>
  <si>
    <t>LIU Jiali</t>
  </si>
  <si>
    <t>BARNWELL Ella</t>
  </si>
  <si>
    <t>MANLY Alexandra Grace</t>
  </si>
  <si>
    <t>SOLOVEI Ganna</t>
  </si>
  <si>
    <t>EBERHARDT Verena</t>
  </si>
  <si>
    <t>AUT</t>
  </si>
  <si>
    <t>SHARAKOVA Tatsiana</t>
  </si>
  <si>
    <t>KAY Emily</t>
  </si>
  <si>
    <t>ZABELINSKAYA Olga</t>
  </si>
  <si>
    <t>UZB</t>
  </si>
  <si>
    <t>BEVERIDGE Allison</t>
  </si>
  <si>
    <t>LETH Julie</t>
  </si>
  <si>
    <t>EVANS Neah</t>
  </si>
  <si>
    <t>BUCHANAN Rushlee</t>
  </si>
  <si>
    <t>SAVENKA Ina</t>
  </si>
  <si>
    <t>BERTHON Laurie</t>
  </si>
  <si>
    <t>GONCHAROVA Alexandra</t>
  </si>
  <si>
    <t>SALAZAR VAZQUEZ Lizbeth Yarely</t>
  </si>
  <si>
    <t>BOYLAN Lydia</t>
  </si>
  <si>
    <t>WIEBES Lorena</t>
  </si>
  <si>
    <t>BALSAMO Elisa</t>
  </si>
  <si>
    <t>BAKER Georgia</t>
  </si>
  <si>
    <t>van BELLE Lisa</t>
  </si>
  <si>
    <t>VALGONEN Valeria</t>
  </si>
  <si>
    <t>AIN</t>
  </si>
  <si>
    <t>van der DUIN Maike</t>
  </si>
  <si>
    <t>KLIMCHENKO Tetyana</t>
  </si>
  <si>
    <t>EDMONDSTON Holly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</si>
</sst>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4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rgb="FF00000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rgb="FF000000"/>
      </patternFill>
    </fill>
    <fill>
      <patternFill patternType="solid">
        <fgColor theme="9" tint="0.79998168889431442"/>
        <bgColor rgb="FF000000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rgb="FF000000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0" fillId="2" borderId="0" xfId="0" applyFill="1"/>
    <xf numFmtId="14" fontId="0" fillId="0" borderId="0" xfId="0" applyNumberFormat="1"/>
    <xf numFmtId="0" fontId="0" fillId="0" borderId="2" xfId="0" applyBorder="1"/>
    <xf numFmtId="0" fontId="0" fillId="3" borderId="0" xfId="0" applyFill="1"/>
    <xf numFmtId="0" fontId="0" fillId="0" borderId="1" xfId="0" applyBorder="1"/>
    <xf numFmtId="14" fontId="0" fillId="0" borderId="1" xfId="0" applyNumberFormat="1" applyBorder="1"/>
    <xf numFmtId="0" fontId="0" fillId="3" borderId="1" xfId="0" applyFill="1" applyBorder="1"/>
    <xf numFmtId="14" fontId="0" fillId="3" borderId="1" xfId="0" applyNumberFormat="1" applyFill="1" applyBorder="1"/>
    <xf numFmtId="0" fontId="0" fillId="0" borderId="3" xfId="0" applyBorder="1"/>
    <xf numFmtId="14" fontId="0" fillId="2" borderId="0" xfId="0" applyNumberFormat="1" applyFill="1"/>
    <xf numFmtId="0" fontId="0" fillId="2" borderId="1" xfId="0" applyFill="1" applyBorder="1"/>
    <xf numFmtId="164" fontId="2" fillId="0" borderId="1" xfId="0" applyNumberFormat="1" applyFont="1" applyBorder="1" applyAlignment="1">
      <alignment horizontal="left" vertical="center"/>
    </xf>
    <xf numFmtId="14" fontId="0" fillId="2" borderId="1" xfId="0" applyNumberFormat="1" applyFill="1" applyBorder="1"/>
    <xf numFmtId="0" fontId="0" fillId="3" borderId="3" xfId="0" applyFill="1" applyBorder="1"/>
    <xf numFmtId="0" fontId="0" fillId="2" borderId="3" xfId="0" applyFill="1" applyBorder="1"/>
    <xf numFmtId="14" fontId="0" fillId="3" borderId="0" xfId="0" applyNumberFormat="1" applyFill="1"/>
    <xf numFmtId="0" fontId="0" fillId="0" borderId="0" xfId="0" applyAlignment="1">
      <alignment vertical="center" wrapText="1"/>
    </xf>
    <xf numFmtId="0" fontId="0" fillId="4" borderId="1" xfId="0" applyFill="1" applyBorder="1"/>
    <xf numFmtId="2" fontId="3" fillId="5" borderId="1" xfId="0" applyNumberFormat="1" applyFont="1" applyFill="1" applyBorder="1"/>
    <xf numFmtId="2" fontId="3" fillId="6" borderId="1" xfId="0" applyNumberFormat="1" applyFont="1" applyFill="1" applyBorder="1"/>
    <xf numFmtId="0" fontId="0" fillId="7" borderId="1" xfId="0" applyFill="1" applyBorder="1"/>
    <xf numFmtId="14" fontId="0" fillId="7" borderId="1" xfId="0" applyNumberFormat="1" applyFill="1" applyBorder="1"/>
    <xf numFmtId="2" fontId="3" fillId="8" borderId="1" xfId="0" applyNumberFormat="1" applyFont="1" applyFill="1" applyBorder="1"/>
    <xf numFmtId="0" fontId="0" fillId="3" borderId="4" xfId="0" applyFill="1" applyBorder="1"/>
    <xf numFmtId="0" fontId="0" fillId="9" borderId="1" xfId="0" applyFill="1" applyBorder="1"/>
    <xf numFmtId="14" fontId="0" fillId="9" borderId="1" xfId="0" applyNumberFormat="1" applyFill="1" applyBorder="1"/>
    <xf numFmtId="0" fontId="0" fillId="9" borderId="0" xfId="0" applyFill="1"/>
    <xf numFmtId="0" fontId="0" fillId="9" borderId="3" xfId="0" applyFill="1" applyBorder="1"/>
    <xf numFmtId="0" fontId="0" fillId="7" borderId="0" xfId="0" applyFill="1"/>
    <xf numFmtId="0" fontId="0" fillId="3" borderId="2" xfId="0" applyFill="1" applyBorder="1"/>
    <xf numFmtId="165" fontId="0" fillId="0" borderId="0" xfId="0" applyNumberFormat="1"/>
    <xf numFmtId="14" fontId="0" fillId="0" borderId="4" xfId="0" applyNumberFormat="1" applyBorder="1"/>
    <xf numFmtId="0" fontId="0" fillId="3" borderId="1" xfId="0" applyFill="1" applyBorder="1" applyAlignment="1">
      <alignment horizontal="left"/>
    </xf>
    <xf numFmtId="0" fontId="2" fillId="3" borderId="1" xfId="0" applyFont="1" applyFill="1" applyBorder="1" applyAlignment="1">
      <alignment horizontal="center" wrapText="1"/>
    </xf>
    <xf numFmtId="1" fontId="1" fillId="3" borderId="1" xfId="0" applyNumberFormat="1" applyFont="1" applyFill="1" applyBorder="1" applyAlignment="1">
      <alignment horizontal="left" vertical="top" shrinkToFit="1"/>
    </xf>
  </cellXfs>
  <cellStyles count="1">
    <cellStyle name="Normal" xfId="0" builtinId="0"/>
  </cellStyles>
  <dxfs count="454">
    <dxf>
      <fill>
        <patternFill>
          <bgColor theme="5"/>
        </patternFill>
      </fill>
    </dxf>
    <dxf>
      <fill>
        <patternFill>
          <bgColor theme="9" tint="0.39994506668294322"/>
        </patternFill>
      </fill>
    </dxf>
    <dxf>
      <fill>
        <patternFill>
          <bgColor theme="2" tint="-9.9948118533890809E-2"/>
        </patternFill>
      </fill>
    </dxf>
    <dxf>
      <fill>
        <patternFill>
          <bgColor theme="7" tint="-0.24994659260841701"/>
        </patternFill>
      </fill>
    </dxf>
    <dxf>
      <fill>
        <patternFill>
          <bgColor theme="5"/>
        </patternFill>
      </fill>
    </dxf>
    <dxf>
      <fill>
        <patternFill>
          <bgColor theme="9" tint="0.39994506668294322"/>
        </patternFill>
      </fill>
    </dxf>
    <dxf>
      <fill>
        <patternFill>
          <bgColor theme="2" tint="-9.9948118533890809E-2"/>
        </patternFill>
      </fill>
    </dxf>
    <dxf>
      <fill>
        <patternFill>
          <bgColor theme="7" tint="-0.24994659260841701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7" tint="-0.24994659260841701"/>
        </patternFill>
      </fill>
    </dxf>
    <dxf>
      <fill>
        <patternFill>
          <bgColor theme="2" tint="-9.9948118533890809E-2"/>
        </patternFill>
      </fill>
    </dxf>
    <dxf>
      <fill>
        <patternFill>
          <bgColor theme="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7" tint="-0.24994659260841701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6B23EE-F0D3-4856-AD89-ACB67D64024E}">
  <dimension ref="A1:H33"/>
  <sheetViews>
    <sheetView zoomScale="70" zoomScaleNormal="70" workbookViewId="0">
      <pane ySplit="1" topLeftCell="A2" activePane="bottomLeft" state="frozen"/>
      <selection activeCell="D1" sqref="D1"/>
      <selection pane="bottomLeft" activeCell="N12" sqref="N12"/>
    </sheetView>
  </sheetViews>
  <sheetFormatPr defaultRowHeight="14.25" x14ac:dyDescent="0.45"/>
  <cols>
    <col min="3" max="3" width="10.265625" bestFit="1" customWidth="1"/>
    <col min="5" max="5" width="27.19921875" bestFit="1" customWidth="1"/>
  </cols>
  <sheetData>
    <row r="1" spans="1:8" x14ac:dyDescent="0.45">
      <c r="A1" t="s">
        <v>0</v>
      </c>
      <c r="B1" t="s">
        <v>1</v>
      </c>
      <c r="C1" t="s">
        <v>2</v>
      </c>
      <c r="D1" t="s">
        <v>3</v>
      </c>
      <c r="E1" t="s">
        <v>45</v>
      </c>
      <c r="F1" t="s">
        <v>4</v>
      </c>
      <c r="G1" t="s">
        <v>46</v>
      </c>
      <c r="H1" t="s">
        <v>8</v>
      </c>
    </row>
    <row r="2" spans="1:8" x14ac:dyDescent="0.45">
      <c r="A2" s="7" t="s">
        <v>59</v>
      </c>
      <c r="B2" s="7">
        <v>2025</v>
      </c>
      <c r="C2" s="6">
        <v>45952</v>
      </c>
      <c r="D2" s="7" t="s">
        <v>14</v>
      </c>
      <c r="E2" s="5" t="s">
        <v>114</v>
      </c>
      <c r="F2" s="5" t="s">
        <v>11</v>
      </c>
      <c r="G2" s="19">
        <v>26.61917808219178</v>
      </c>
      <c r="H2">
        <v>48.912999999999997</v>
      </c>
    </row>
    <row r="3" spans="1:8" x14ac:dyDescent="0.45">
      <c r="A3" s="11" t="s">
        <v>9</v>
      </c>
      <c r="B3" s="11">
        <v>2025</v>
      </c>
      <c r="C3" s="6">
        <v>45730</v>
      </c>
      <c r="D3" s="11" t="s">
        <v>10</v>
      </c>
      <c r="E3" s="5" t="s">
        <v>62</v>
      </c>
      <c r="F3" s="5" t="s">
        <v>23</v>
      </c>
      <c r="G3" s="19">
        <v>23.18082191780822</v>
      </c>
      <c r="H3">
        <v>48.713999999999999</v>
      </c>
    </row>
    <row r="4" spans="1:8" x14ac:dyDescent="0.45">
      <c r="A4" s="5" t="s">
        <v>13</v>
      </c>
      <c r="B4" s="11">
        <v>2024</v>
      </c>
      <c r="C4" s="6">
        <v>45583</v>
      </c>
      <c r="D4" s="11" t="s">
        <v>14</v>
      </c>
      <c r="E4" s="5" t="s">
        <v>63</v>
      </c>
      <c r="F4" s="5" t="s">
        <v>31</v>
      </c>
      <c r="G4" s="19">
        <v>23.238356164383561</v>
      </c>
      <c r="H4">
        <v>48.473999999999997</v>
      </c>
    </row>
    <row r="5" spans="1:8" x14ac:dyDescent="0.45">
      <c r="A5" s="11" t="s">
        <v>16</v>
      </c>
      <c r="B5" s="18">
        <v>2024</v>
      </c>
      <c r="C5" s="6">
        <v>45543</v>
      </c>
      <c r="D5" s="18" t="s">
        <v>17</v>
      </c>
      <c r="E5" s="5" t="s">
        <v>64</v>
      </c>
      <c r="F5" s="5" t="s">
        <v>49</v>
      </c>
      <c r="G5" s="19">
        <v>29.728767123287671</v>
      </c>
      <c r="H5">
        <v>49.451000000000001</v>
      </c>
    </row>
    <row r="6" spans="1:8" x14ac:dyDescent="0.45">
      <c r="A6" s="5" t="s">
        <v>20</v>
      </c>
      <c r="B6" s="11">
        <v>2024</v>
      </c>
      <c r="C6" s="6">
        <v>45396</v>
      </c>
      <c r="D6" s="11" t="s">
        <v>10</v>
      </c>
      <c r="E6" s="5" t="s">
        <v>65</v>
      </c>
      <c r="F6" s="5" t="s">
        <v>25</v>
      </c>
      <c r="G6" s="19">
        <v>30.112328767123287</v>
      </c>
      <c r="H6">
        <v>48.301000000000002</v>
      </c>
    </row>
    <row r="7" spans="1:8" x14ac:dyDescent="0.45">
      <c r="A7" s="11" t="s">
        <v>21</v>
      </c>
      <c r="B7" s="11">
        <v>2024</v>
      </c>
      <c r="C7" s="6">
        <v>45368</v>
      </c>
      <c r="D7" s="11" t="s">
        <v>10</v>
      </c>
      <c r="E7" s="5" t="s">
        <v>66</v>
      </c>
      <c r="F7" s="5" t="s">
        <v>23</v>
      </c>
      <c r="G7" s="19">
        <v>26.953424657534246</v>
      </c>
      <c r="H7">
        <v>47.451999999999998</v>
      </c>
    </row>
    <row r="8" spans="1:8" x14ac:dyDescent="0.45">
      <c r="A8" s="11" t="s">
        <v>24</v>
      </c>
      <c r="B8" s="11">
        <v>2024</v>
      </c>
      <c r="C8" s="13">
        <v>45325</v>
      </c>
      <c r="D8" s="11" t="s">
        <v>10</v>
      </c>
      <c r="E8" s="5" t="s">
        <v>67</v>
      </c>
      <c r="F8" s="5" t="s">
        <v>22</v>
      </c>
      <c r="G8" s="19">
        <v>23.095890410958905</v>
      </c>
      <c r="H8">
        <v>48.213999999999999</v>
      </c>
    </row>
    <row r="9" spans="1:8" x14ac:dyDescent="0.45">
      <c r="A9" s="12" t="s">
        <v>26</v>
      </c>
      <c r="B9" s="5">
        <v>2023</v>
      </c>
      <c r="C9" s="6">
        <v>45147</v>
      </c>
      <c r="D9" s="5" t="s">
        <v>14</v>
      </c>
      <c r="E9" s="5" t="s">
        <v>67</v>
      </c>
      <c r="F9" s="5" t="s">
        <v>22</v>
      </c>
      <c r="G9" s="19">
        <v>22.608219178082191</v>
      </c>
      <c r="H9">
        <v>50.093000000000004</v>
      </c>
    </row>
    <row r="10" spans="1:8" x14ac:dyDescent="0.45">
      <c r="A10" s="5" t="s">
        <v>20</v>
      </c>
      <c r="B10" s="7">
        <v>2023</v>
      </c>
      <c r="C10" s="8">
        <v>45039</v>
      </c>
      <c r="D10" s="7" t="s">
        <v>10</v>
      </c>
      <c r="E10" s="5" t="s">
        <v>65</v>
      </c>
      <c r="F10" s="5" t="s">
        <v>25</v>
      </c>
      <c r="G10" s="19">
        <v>29.134246575342466</v>
      </c>
      <c r="H10">
        <v>47.542000000000002</v>
      </c>
    </row>
    <row r="11" spans="1:8" x14ac:dyDescent="0.45">
      <c r="A11" s="11" t="s">
        <v>28</v>
      </c>
      <c r="B11" s="7">
        <v>2023</v>
      </c>
      <c r="C11" s="8">
        <v>45002</v>
      </c>
      <c r="D11" s="7" t="s">
        <v>10</v>
      </c>
      <c r="E11" s="7" t="s">
        <v>67</v>
      </c>
      <c r="F11" s="7" t="s">
        <v>22</v>
      </c>
      <c r="G11" s="19">
        <v>22.210958904109589</v>
      </c>
      <c r="H11">
        <v>44.924999999999997</v>
      </c>
    </row>
    <row r="12" spans="1:8" x14ac:dyDescent="0.45">
      <c r="A12" s="11" t="s">
        <v>29</v>
      </c>
      <c r="B12" s="11">
        <v>2023</v>
      </c>
      <c r="C12" s="13">
        <v>44983</v>
      </c>
      <c r="D12" s="11" t="s">
        <v>10</v>
      </c>
      <c r="E12" s="11" t="s">
        <v>67</v>
      </c>
      <c r="F12" s="11" t="s">
        <v>22</v>
      </c>
      <c r="G12" s="19">
        <v>22.158904109589042</v>
      </c>
      <c r="H12">
        <v>48.561</v>
      </c>
    </row>
    <row r="13" spans="1:8" x14ac:dyDescent="0.45">
      <c r="A13" s="7" t="s">
        <v>16</v>
      </c>
      <c r="B13" s="7">
        <v>2022</v>
      </c>
      <c r="C13" s="8">
        <v>44849</v>
      </c>
      <c r="D13" s="7" t="s">
        <v>14</v>
      </c>
      <c r="E13" s="7" t="s">
        <v>64</v>
      </c>
      <c r="F13" s="7" t="s">
        <v>49</v>
      </c>
      <c r="G13" s="19">
        <v>27.827397260273973</v>
      </c>
      <c r="H13">
        <v>49.27</v>
      </c>
    </row>
    <row r="14" spans="1:8" x14ac:dyDescent="0.45">
      <c r="A14" s="11" t="s">
        <v>30</v>
      </c>
      <c r="B14" s="11">
        <v>2022</v>
      </c>
      <c r="C14" s="13">
        <v>44751</v>
      </c>
      <c r="D14" s="11" t="s">
        <v>10</v>
      </c>
      <c r="E14" s="11" t="s">
        <v>64</v>
      </c>
      <c r="F14" s="11" t="s">
        <v>49</v>
      </c>
      <c r="G14" s="19">
        <v>27.55890410958904</v>
      </c>
      <c r="H14">
        <v>45.151000000000003</v>
      </c>
    </row>
    <row r="15" spans="1:8" x14ac:dyDescent="0.45">
      <c r="A15" s="7" t="s">
        <v>20</v>
      </c>
      <c r="B15" s="7">
        <v>2022</v>
      </c>
      <c r="C15" s="8">
        <v>44695</v>
      </c>
      <c r="D15" s="7" t="s">
        <v>10</v>
      </c>
      <c r="E15" s="7" t="s">
        <v>68</v>
      </c>
      <c r="F15" s="7" t="s">
        <v>50</v>
      </c>
      <c r="G15" s="19">
        <v>19.830136986301369</v>
      </c>
      <c r="H15">
        <v>47.703000000000003</v>
      </c>
    </row>
    <row r="16" spans="1:8" x14ac:dyDescent="0.45">
      <c r="A16" s="11" t="s">
        <v>26</v>
      </c>
      <c r="B16" s="11">
        <v>2022</v>
      </c>
      <c r="C16" s="13">
        <v>44674</v>
      </c>
      <c r="D16" s="11" t="s">
        <v>10</v>
      </c>
      <c r="E16" s="11" t="s">
        <v>69</v>
      </c>
      <c r="F16" s="11" t="s">
        <v>27</v>
      </c>
      <c r="G16" s="19">
        <v>23.293150684931508</v>
      </c>
      <c r="H16">
        <v>47.284999999999997</v>
      </c>
    </row>
    <row r="17" spans="1:8" x14ac:dyDescent="0.45">
      <c r="A17" s="7" t="s">
        <v>33</v>
      </c>
      <c r="B17" s="7">
        <v>2021</v>
      </c>
      <c r="C17" s="8">
        <v>44491</v>
      </c>
      <c r="D17" s="7" t="s">
        <v>14</v>
      </c>
      <c r="E17" s="7" t="s">
        <v>65</v>
      </c>
      <c r="F17" s="7" t="s">
        <v>25</v>
      </c>
      <c r="G17" s="19">
        <v>27.632876712328766</v>
      </c>
      <c r="H17">
        <v>45.530999999999999</v>
      </c>
    </row>
    <row r="18" spans="1:8" x14ac:dyDescent="0.45">
      <c r="A18" s="11" t="s">
        <v>30</v>
      </c>
      <c r="B18" s="11">
        <v>2021</v>
      </c>
      <c r="C18" s="13">
        <v>44450</v>
      </c>
      <c r="D18" s="11" t="s">
        <v>10</v>
      </c>
      <c r="E18" s="11" t="s">
        <v>70</v>
      </c>
      <c r="F18" s="11" t="s">
        <v>52</v>
      </c>
      <c r="G18" s="19">
        <v>24.695890410958903</v>
      </c>
      <c r="H18">
        <v>44.816000000000003</v>
      </c>
    </row>
    <row r="19" spans="1:8" x14ac:dyDescent="0.45">
      <c r="A19" s="11" t="s">
        <v>34</v>
      </c>
      <c r="B19" s="11">
        <v>2021</v>
      </c>
      <c r="C19" s="6">
        <v>44416</v>
      </c>
      <c r="D19" s="11" t="s">
        <v>17</v>
      </c>
      <c r="E19" t="s">
        <v>64</v>
      </c>
      <c r="F19" t="s">
        <v>49</v>
      </c>
      <c r="G19" s="19">
        <v>26.641095890410959</v>
      </c>
      <c r="H19">
        <v>48.543999999999997</v>
      </c>
    </row>
    <row r="20" spans="1:8" x14ac:dyDescent="0.45">
      <c r="A20" s="7" t="s">
        <v>35</v>
      </c>
      <c r="B20" s="7">
        <v>2021</v>
      </c>
      <c r="C20" s="8">
        <v>44387</v>
      </c>
      <c r="D20" s="7" t="s">
        <v>10</v>
      </c>
      <c r="E20" s="7" t="s">
        <v>71</v>
      </c>
      <c r="F20" s="7" t="s">
        <v>72</v>
      </c>
      <c r="G20" s="19">
        <v>22.865753424657534</v>
      </c>
      <c r="H20">
        <v>44.73</v>
      </c>
    </row>
    <row r="21" spans="1:8" x14ac:dyDescent="0.45">
      <c r="A21" s="11" t="s">
        <v>37</v>
      </c>
      <c r="B21" s="11">
        <v>2020</v>
      </c>
      <c r="C21" s="13">
        <v>43889</v>
      </c>
      <c r="D21" s="11" t="s">
        <v>14</v>
      </c>
      <c r="E21" s="11" t="s">
        <v>66</v>
      </c>
      <c r="F21" s="11" t="s">
        <v>23</v>
      </c>
      <c r="G21" s="19">
        <v>22.901369863013699</v>
      </c>
      <c r="H21">
        <v>48.356999999999999</v>
      </c>
    </row>
    <row r="22" spans="1:8" x14ac:dyDescent="0.45">
      <c r="A22" s="4" t="s">
        <v>20</v>
      </c>
      <c r="B22" s="7">
        <v>2020</v>
      </c>
      <c r="C22" s="8">
        <v>43856</v>
      </c>
      <c r="D22" s="7" t="s">
        <v>10</v>
      </c>
      <c r="E22" s="7" t="s">
        <v>73</v>
      </c>
      <c r="F22" s="7" t="s">
        <v>25</v>
      </c>
      <c r="G22" s="19">
        <v>27.775342465753425</v>
      </c>
      <c r="H22">
        <v>46.976999999999997</v>
      </c>
    </row>
    <row r="23" spans="1:8" x14ac:dyDescent="0.45">
      <c r="A23" s="15" t="s">
        <v>38</v>
      </c>
      <c r="B23" s="15">
        <v>2019</v>
      </c>
      <c r="C23" s="10">
        <v>43814</v>
      </c>
      <c r="D23" s="15" t="s">
        <v>10</v>
      </c>
      <c r="E23" s="1" t="s">
        <v>74</v>
      </c>
      <c r="F23" s="1" t="s">
        <v>39</v>
      </c>
      <c r="G23" s="19">
        <v>28.027397260273972</v>
      </c>
      <c r="H23">
        <v>46.201999999999998</v>
      </c>
    </row>
    <row r="24" spans="1:8" x14ac:dyDescent="0.45">
      <c r="A24" s="14" t="s">
        <v>40</v>
      </c>
      <c r="B24" s="14">
        <v>2019</v>
      </c>
      <c r="C24" s="16">
        <v>43807</v>
      </c>
      <c r="D24" s="14" t="s">
        <v>10</v>
      </c>
      <c r="E24" s="4" t="s">
        <v>66</v>
      </c>
      <c r="F24" s="4" t="s">
        <v>23</v>
      </c>
      <c r="G24" s="19">
        <v>22.676712328767124</v>
      </c>
      <c r="H24">
        <v>46.572000000000003</v>
      </c>
    </row>
    <row r="25" spans="1:8" x14ac:dyDescent="0.45">
      <c r="A25" s="15" t="s">
        <v>21</v>
      </c>
      <c r="B25" s="11">
        <v>2019</v>
      </c>
      <c r="C25" s="13">
        <v>43800</v>
      </c>
      <c r="D25" s="11" t="s">
        <v>10</v>
      </c>
      <c r="E25" s="1" t="s">
        <v>75</v>
      </c>
      <c r="F25" s="1" t="s">
        <v>12</v>
      </c>
      <c r="G25" s="19">
        <v>29.736986301369864</v>
      </c>
      <c r="H25">
        <v>45.956000000000003</v>
      </c>
    </row>
    <row r="26" spans="1:8" x14ac:dyDescent="0.45">
      <c r="A26" s="14" t="s">
        <v>26</v>
      </c>
      <c r="B26" s="14">
        <v>2019</v>
      </c>
      <c r="C26" s="16">
        <v>43778</v>
      </c>
      <c r="D26" s="14" t="s">
        <v>10</v>
      </c>
      <c r="E26" s="4" t="s">
        <v>76</v>
      </c>
      <c r="F26" s="4" t="s">
        <v>12</v>
      </c>
      <c r="G26" s="19">
        <v>24.013698630136986</v>
      </c>
      <c r="H26">
        <v>48.631</v>
      </c>
    </row>
    <row r="27" spans="1:8" x14ac:dyDescent="0.45">
      <c r="A27" s="15" t="s">
        <v>41</v>
      </c>
      <c r="B27" s="1">
        <v>2019</v>
      </c>
      <c r="C27" s="10">
        <v>43772</v>
      </c>
      <c r="D27" s="1" t="s">
        <v>10</v>
      </c>
      <c r="E27" s="1" t="s">
        <v>64</v>
      </c>
      <c r="F27" s="1" t="s">
        <v>49</v>
      </c>
      <c r="G27" s="19">
        <v>24.876712328767123</v>
      </c>
      <c r="H27">
        <v>48.511000000000003</v>
      </c>
    </row>
    <row r="28" spans="1:8" x14ac:dyDescent="0.45">
      <c r="A28" s="4" t="s">
        <v>42</v>
      </c>
      <c r="B28" s="4">
        <v>2019</v>
      </c>
      <c r="C28" s="16">
        <v>43525</v>
      </c>
      <c r="D28" s="4" t="s">
        <v>14</v>
      </c>
      <c r="E28" s="4" t="s">
        <v>77</v>
      </c>
      <c r="F28" s="4" t="s">
        <v>19</v>
      </c>
      <c r="G28" s="19">
        <v>19.621917808219177</v>
      </c>
      <c r="H28">
        <v>46.174999999999997</v>
      </c>
    </row>
    <row r="29" spans="1:8" x14ac:dyDescent="0.45">
      <c r="A29" s="1" t="s">
        <v>21</v>
      </c>
      <c r="B29" s="1">
        <v>2019</v>
      </c>
      <c r="C29" s="10">
        <v>43492</v>
      </c>
      <c r="D29" s="1" t="s">
        <v>10</v>
      </c>
      <c r="E29" s="1" t="s">
        <v>78</v>
      </c>
      <c r="F29" s="1" t="s">
        <v>11</v>
      </c>
      <c r="G29" s="19">
        <v>36.30958904109589</v>
      </c>
      <c r="H29">
        <v>46.216999999999999</v>
      </c>
    </row>
    <row r="30" spans="1:8" x14ac:dyDescent="0.45">
      <c r="A30" s="4" t="s">
        <v>40</v>
      </c>
      <c r="B30" s="7">
        <v>2019</v>
      </c>
      <c r="C30" s="8">
        <v>43484</v>
      </c>
      <c r="D30" s="7" t="s">
        <v>10</v>
      </c>
      <c r="E30" s="4" t="s">
        <v>74</v>
      </c>
      <c r="F30" s="4" t="s">
        <v>39</v>
      </c>
      <c r="G30" s="19">
        <v>27.123287671232877</v>
      </c>
      <c r="H30">
        <v>44.628999999999998</v>
      </c>
    </row>
    <row r="31" spans="1:8" x14ac:dyDescent="0.45">
      <c r="A31" s="1" t="s">
        <v>48</v>
      </c>
      <c r="B31" s="15">
        <v>2018</v>
      </c>
      <c r="C31" s="10">
        <v>43449</v>
      </c>
      <c r="D31" s="15" t="s">
        <v>10</v>
      </c>
      <c r="E31" s="1" t="s">
        <v>78</v>
      </c>
      <c r="F31" s="1" t="s">
        <v>11</v>
      </c>
      <c r="G31" s="19">
        <v>36.19178082191781</v>
      </c>
      <c r="H31">
        <v>43.87</v>
      </c>
    </row>
    <row r="32" spans="1:8" x14ac:dyDescent="0.45">
      <c r="A32" s="4" t="s">
        <v>37</v>
      </c>
      <c r="B32" s="7">
        <v>2018</v>
      </c>
      <c r="C32" s="8">
        <v>43435</v>
      </c>
      <c r="D32" s="7" t="s">
        <v>10</v>
      </c>
      <c r="E32" s="4" t="s">
        <v>65</v>
      </c>
      <c r="F32" s="4" t="s">
        <v>25</v>
      </c>
      <c r="G32" s="19">
        <v>24.739726027397261</v>
      </c>
      <c r="H32">
        <v>46.095999999999997</v>
      </c>
    </row>
    <row r="33" spans="1:8" x14ac:dyDescent="0.45">
      <c r="A33" s="1" t="s">
        <v>20</v>
      </c>
      <c r="B33" s="11">
        <v>2018</v>
      </c>
      <c r="C33" s="13">
        <v>43401</v>
      </c>
      <c r="D33" s="11" t="s">
        <v>10</v>
      </c>
      <c r="E33" s="1" t="s">
        <v>64</v>
      </c>
      <c r="F33" s="1" t="s">
        <v>49</v>
      </c>
      <c r="G33" s="19">
        <v>23.860273972602741</v>
      </c>
      <c r="H33">
        <v>45.57</v>
      </c>
    </row>
  </sheetData>
  <conditionalFormatting sqref="A16:A18">
    <cfRule type="expression" dxfId="453" priority="119">
      <formula>$E16="F"</formula>
    </cfRule>
    <cfRule type="expression" dxfId="452" priority="120">
      <formula>$E16="Q"</formula>
    </cfRule>
  </conditionalFormatting>
  <conditionalFormatting sqref="A19">
    <cfRule type="expression" dxfId="451" priority="115">
      <formula>#REF!="F"</formula>
    </cfRule>
    <cfRule type="expression" dxfId="450" priority="116">
      <formula>#REF!="Q"</formula>
    </cfRule>
  </conditionalFormatting>
  <conditionalFormatting sqref="A23:A24">
    <cfRule type="expression" dxfId="449" priority="109">
      <formula>$E23="R1"</formula>
    </cfRule>
    <cfRule type="expression" dxfId="448" priority="110">
      <formula>$E23="F"</formula>
    </cfRule>
    <cfRule type="expression" dxfId="447" priority="111">
      <formula>$E23="Q"</formula>
    </cfRule>
  </conditionalFormatting>
  <conditionalFormatting sqref="A15">
    <cfRule type="expression" dxfId="446" priority="127">
      <formula>$E15="F"</formula>
    </cfRule>
    <cfRule type="expression" dxfId="445" priority="128">
      <formula>$E15="Q"</formula>
    </cfRule>
  </conditionalFormatting>
  <conditionalFormatting sqref="A32">
    <cfRule type="expression" dxfId="444" priority="107">
      <formula>$E32="F"</formula>
    </cfRule>
    <cfRule type="expression" dxfId="443" priority="108">
      <formula>$E32="Q"</formula>
    </cfRule>
  </conditionalFormatting>
  <conditionalFormatting sqref="D5">
    <cfRule type="expression" dxfId="434" priority="63">
      <formula>$E5="F"</formula>
    </cfRule>
    <cfRule type="expression" dxfId="433" priority="64">
      <formula>$E5="SF"</formula>
    </cfRule>
    <cfRule type="expression" dxfId="432" priority="65">
      <formula>$E5="QF"</formula>
    </cfRule>
    <cfRule type="expression" dxfId="431" priority="66">
      <formula>$E5="R16"</formula>
    </cfRule>
    <cfRule type="expression" dxfId="430" priority="67">
      <formula>$E5="R8"</formula>
    </cfRule>
  </conditionalFormatting>
  <conditionalFormatting sqref="C8">
    <cfRule type="expression" dxfId="429" priority="61">
      <formula>$E8="F"</formula>
    </cfRule>
    <cfRule type="expression" dxfId="428" priority="62">
      <formula>$E8="Q"</formula>
    </cfRule>
  </conditionalFormatting>
  <conditionalFormatting sqref="B8">
    <cfRule type="expression" dxfId="427" priority="58">
      <formula>$E8="Q"</formula>
    </cfRule>
    <cfRule type="expression" dxfId="426" priority="59">
      <formula>$E8="G"</formula>
    </cfRule>
    <cfRule type="expression" dxfId="425" priority="60">
      <formula>$E8="B"</formula>
    </cfRule>
  </conditionalFormatting>
  <conditionalFormatting sqref="D8">
    <cfRule type="expression" dxfId="424" priority="55">
      <formula>$E8="Q"</formula>
    </cfRule>
    <cfRule type="expression" dxfId="423" priority="56">
      <formula>$E8="G"</formula>
    </cfRule>
    <cfRule type="expression" dxfId="422" priority="57">
      <formula>$E8="B"</formula>
    </cfRule>
  </conditionalFormatting>
  <conditionalFormatting sqref="B9 D9">
    <cfRule type="expression" dxfId="421" priority="53">
      <formula>#REF!="F"</formula>
    </cfRule>
    <cfRule type="expression" dxfId="420" priority="54">
      <formula>#REF!="Q"</formula>
    </cfRule>
  </conditionalFormatting>
  <conditionalFormatting sqref="B10 D10">
    <cfRule type="expression" dxfId="419" priority="51">
      <formula>#REF!="F"</formula>
    </cfRule>
    <cfRule type="expression" dxfId="418" priority="52">
      <formula>#REF!="Q"</formula>
    </cfRule>
  </conditionalFormatting>
  <conditionalFormatting sqref="B11 D11">
    <cfRule type="expression" dxfId="417" priority="49">
      <formula>#REF!="F"</formula>
    </cfRule>
    <cfRule type="expression" dxfId="416" priority="50">
      <formula>#REF!="Q"</formula>
    </cfRule>
  </conditionalFormatting>
  <conditionalFormatting sqref="B12 D12">
    <cfRule type="expression" dxfId="415" priority="47">
      <formula>#REF!="F"</formula>
    </cfRule>
    <cfRule type="expression" dxfId="414" priority="48">
      <formula>#REF!="Q"</formula>
    </cfRule>
  </conditionalFormatting>
  <conditionalFormatting sqref="B13 D13">
    <cfRule type="expression" dxfId="413" priority="45">
      <formula>#REF!="F"</formula>
    </cfRule>
    <cfRule type="expression" dxfId="412" priority="46">
      <formula>#REF!="Q"</formula>
    </cfRule>
  </conditionalFormatting>
  <conditionalFormatting sqref="B14 D14">
    <cfRule type="expression" dxfId="411" priority="43">
      <formula>#REF!="F"</formula>
    </cfRule>
    <cfRule type="expression" dxfId="410" priority="44">
      <formula>#REF!="Q"</formula>
    </cfRule>
  </conditionalFormatting>
  <conditionalFormatting sqref="D15 B15">
    <cfRule type="expression" dxfId="409" priority="41">
      <formula>#REF!="F"</formula>
    </cfRule>
    <cfRule type="expression" dxfId="408" priority="42">
      <formula>#REF!="Q"</formula>
    </cfRule>
  </conditionalFormatting>
  <conditionalFormatting sqref="D16">
    <cfRule type="expression" dxfId="407" priority="39">
      <formula>#REF!="F"</formula>
    </cfRule>
    <cfRule type="expression" dxfId="406" priority="40">
      <formula>#REF!="Q"</formula>
    </cfRule>
  </conditionalFormatting>
  <conditionalFormatting sqref="B16">
    <cfRule type="expression" dxfId="405" priority="37">
      <formula>#REF!="F"</formula>
    </cfRule>
    <cfRule type="expression" dxfId="404" priority="38">
      <formula>#REF!="Q"</formula>
    </cfRule>
  </conditionalFormatting>
  <conditionalFormatting sqref="D17">
    <cfRule type="expression" dxfId="403" priority="35">
      <formula>#REF!="F"</formula>
    </cfRule>
    <cfRule type="expression" dxfId="402" priority="36">
      <formula>#REF!="Q"</formula>
    </cfRule>
  </conditionalFormatting>
  <conditionalFormatting sqref="B17">
    <cfRule type="expression" dxfId="401" priority="33">
      <formula>#REF!="F"</formula>
    </cfRule>
    <cfRule type="expression" dxfId="400" priority="34">
      <formula>#REF!="Q"</formula>
    </cfRule>
  </conditionalFormatting>
  <conditionalFormatting sqref="D18">
    <cfRule type="expression" dxfId="399" priority="31">
      <formula>#REF!="F"</formula>
    </cfRule>
    <cfRule type="expression" dxfId="398" priority="32">
      <formula>#REF!="Q"</formula>
    </cfRule>
  </conditionalFormatting>
  <conditionalFormatting sqref="B18">
    <cfRule type="expression" dxfId="397" priority="29">
      <formula>#REF!="F"</formula>
    </cfRule>
    <cfRule type="expression" dxfId="396" priority="30">
      <formula>#REF!="Q"</formula>
    </cfRule>
  </conditionalFormatting>
  <conditionalFormatting sqref="D24 B24">
    <cfRule type="expression" dxfId="395" priority="27">
      <formula>#REF!="F"</formula>
    </cfRule>
    <cfRule type="expression" dxfId="394" priority="28">
      <formula>#REF!="Q"</formula>
    </cfRule>
  </conditionalFormatting>
  <conditionalFormatting sqref="B26:D26">
    <cfRule type="expression" dxfId="393" priority="24">
      <formula>$E26="Q"</formula>
    </cfRule>
    <cfRule type="expression" dxfId="392" priority="25">
      <formula>$E26="G"</formula>
    </cfRule>
    <cfRule type="expression" dxfId="391" priority="26">
      <formula>$E26="B"</formula>
    </cfRule>
  </conditionalFormatting>
  <conditionalFormatting sqref="B27">
    <cfRule type="expression" dxfId="390" priority="21">
      <formula>#REF!="R1"</formula>
    </cfRule>
    <cfRule type="expression" dxfId="389" priority="22">
      <formula>#REF!="F"</formula>
    </cfRule>
    <cfRule type="expression" dxfId="388" priority="23">
      <formula>#REF!="Q"</formula>
    </cfRule>
  </conditionalFormatting>
  <conditionalFormatting sqref="D27">
    <cfRule type="expression" dxfId="387" priority="18">
      <formula>#REF!="R1"</formula>
    </cfRule>
    <cfRule type="expression" dxfId="386" priority="19">
      <formula>#REF!="F"</formula>
    </cfRule>
    <cfRule type="expression" dxfId="385" priority="20">
      <formula>#REF!="Q"</formula>
    </cfRule>
  </conditionalFormatting>
  <conditionalFormatting sqref="C27">
    <cfRule type="expression" dxfId="384" priority="15">
      <formula>$E27="R1"</formula>
    </cfRule>
    <cfRule type="expression" dxfId="383" priority="16">
      <formula>$E27="F"</formula>
    </cfRule>
    <cfRule type="expression" dxfId="382" priority="17">
      <formula>$E27="Q"</formula>
    </cfRule>
  </conditionalFormatting>
  <conditionalFormatting sqref="B28">
    <cfRule type="expression" dxfId="381" priority="12">
      <formula>#REF!="R1"</formula>
    </cfRule>
    <cfRule type="expression" dxfId="380" priority="13">
      <formula>#REF!="F"</formula>
    </cfRule>
    <cfRule type="expression" dxfId="379" priority="14">
      <formula>#REF!="Q"</formula>
    </cfRule>
  </conditionalFormatting>
  <conditionalFormatting sqref="D28">
    <cfRule type="expression" dxfId="378" priority="9">
      <formula>#REF!="R1"</formula>
    </cfRule>
    <cfRule type="expression" dxfId="377" priority="10">
      <formula>#REF!="F"</formula>
    </cfRule>
    <cfRule type="expression" dxfId="376" priority="11">
      <formula>#REF!="Q"</formula>
    </cfRule>
  </conditionalFormatting>
  <conditionalFormatting sqref="B29">
    <cfRule type="expression" dxfId="375" priority="6">
      <formula>#REF!="R1"</formula>
    </cfRule>
    <cfRule type="expression" dxfId="374" priority="7">
      <formula>#REF!="F"</formula>
    </cfRule>
    <cfRule type="expression" dxfId="373" priority="8">
      <formula>#REF!="Q"</formula>
    </cfRule>
  </conditionalFormatting>
  <conditionalFormatting sqref="D29">
    <cfRule type="expression" dxfId="372" priority="3">
      <formula>#REF!="R1"</formula>
    </cfRule>
    <cfRule type="expression" dxfId="371" priority="4">
      <formula>#REF!="F"</formula>
    </cfRule>
    <cfRule type="expression" dxfId="370" priority="5">
      <formula>#REF!="Q"</formula>
    </cfRule>
  </conditionalFormatting>
  <conditionalFormatting sqref="B32:D32">
    <cfRule type="expression" dxfId="369" priority="1">
      <formula>$E32="Q"</formula>
    </cfRule>
    <cfRule type="expression" dxfId="368" priority="2">
      <formula>$E32="F"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72537-7E23-41E0-A5A5-BCEC30CFEE89}">
  <dimension ref="A1:L97"/>
  <sheetViews>
    <sheetView workbookViewId="0">
      <pane ySplit="1" topLeftCell="A2" activePane="bottomLeft" state="frozen"/>
      <selection pane="bottomLeft" activeCell="K9" sqref="K9"/>
    </sheetView>
  </sheetViews>
  <sheetFormatPr defaultRowHeight="14.25" x14ac:dyDescent="0.45"/>
  <cols>
    <col min="3" max="3" width="9.9296875" bestFit="1" customWidth="1"/>
  </cols>
  <sheetData>
    <row r="1" spans="1:12" x14ac:dyDescent="0.45">
      <c r="A1" s="5" t="s">
        <v>0</v>
      </c>
      <c r="B1" s="5" t="s">
        <v>1</v>
      </c>
      <c r="C1" s="5" t="s">
        <v>2</v>
      </c>
      <c r="D1" s="5" t="s">
        <v>3</v>
      </c>
      <c r="E1" s="5" t="s">
        <v>45</v>
      </c>
      <c r="F1" t="s">
        <v>4</v>
      </c>
      <c r="G1" s="5" t="s">
        <v>46</v>
      </c>
      <c r="H1" s="5" t="s">
        <v>5</v>
      </c>
      <c r="I1" s="5" t="s">
        <v>6</v>
      </c>
      <c r="J1" s="5" t="s">
        <v>43</v>
      </c>
      <c r="K1" s="5" t="s">
        <v>7</v>
      </c>
      <c r="L1" s="9" t="s">
        <v>8</v>
      </c>
    </row>
    <row r="2" spans="1:12" x14ac:dyDescent="0.45">
      <c r="A2" s="7" t="s">
        <v>59</v>
      </c>
      <c r="B2" s="7">
        <v>2025</v>
      </c>
      <c r="C2" s="6">
        <v>45952</v>
      </c>
      <c r="D2" s="7" t="s">
        <v>14</v>
      </c>
      <c r="E2" s="5" t="s">
        <v>79</v>
      </c>
      <c r="F2" s="5" t="s">
        <v>25</v>
      </c>
      <c r="G2" s="19">
        <v>26.550684931506851</v>
      </c>
      <c r="H2" s="11">
        <v>1</v>
      </c>
      <c r="I2" s="5">
        <v>20</v>
      </c>
      <c r="J2" s="5">
        <f t="shared" ref="J2:J4" si="0">K2-I2</f>
        <v>4</v>
      </c>
      <c r="K2" s="5">
        <v>24</v>
      </c>
      <c r="L2" s="3">
        <v>54.545000000000002</v>
      </c>
    </row>
    <row r="3" spans="1:12" x14ac:dyDescent="0.45">
      <c r="A3" s="7" t="s">
        <v>59</v>
      </c>
      <c r="B3" s="7">
        <v>2025</v>
      </c>
      <c r="C3" s="6">
        <v>45952</v>
      </c>
      <c r="D3" s="7" t="s">
        <v>14</v>
      </c>
      <c r="E3" s="5" t="s">
        <v>80</v>
      </c>
      <c r="F3" s="5" t="s">
        <v>27</v>
      </c>
      <c r="G3" s="19">
        <v>27.92876712328767</v>
      </c>
      <c r="H3" s="11">
        <v>2</v>
      </c>
      <c r="I3" s="5">
        <v>20</v>
      </c>
      <c r="J3" s="5">
        <f t="shared" si="0"/>
        <v>1</v>
      </c>
      <c r="K3" s="5">
        <v>21</v>
      </c>
      <c r="L3" s="3">
        <v>54.545000000000002</v>
      </c>
    </row>
    <row r="4" spans="1:12" x14ac:dyDescent="0.45">
      <c r="A4" s="7" t="s">
        <v>59</v>
      </c>
      <c r="B4" s="7">
        <v>2025</v>
      </c>
      <c r="C4" s="6">
        <v>45952</v>
      </c>
      <c r="D4" s="7" t="s">
        <v>14</v>
      </c>
      <c r="E4" s="5" t="s">
        <v>81</v>
      </c>
      <c r="F4" s="5" t="s">
        <v>12</v>
      </c>
      <c r="G4" s="19">
        <v>25.145205479452056</v>
      </c>
      <c r="H4" s="11">
        <v>3</v>
      </c>
      <c r="I4" s="5">
        <v>0</v>
      </c>
      <c r="J4" s="5">
        <f t="shared" si="0"/>
        <v>6</v>
      </c>
      <c r="K4" s="5">
        <v>6</v>
      </c>
      <c r="L4" s="3">
        <v>54.545000000000002</v>
      </c>
    </row>
    <row r="5" spans="1:12" x14ac:dyDescent="0.45">
      <c r="A5" s="11" t="s">
        <v>9</v>
      </c>
      <c r="B5" s="11">
        <v>2025</v>
      </c>
      <c r="C5" s="6">
        <v>45730</v>
      </c>
      <c r="D5" s="11" t="s">
        <v>10</v>
      </c>
      <c r="E5" s="5" t="s">
        <v>63</v>
      </c>
      <c r="F5" s="5" t="s">
        <v>31</v>
      </c>
      <c r="G5" s="19">
        <v>23.641095890410959</v>
      </c>
      <c r="H5" s="11">
        <v>1</v>
      </c>
      <c r="I5" s="5">
        <v>20</v>
      </c>
      <c r="J5" s="5">
        <f>K5-I5</f>
        <v>13</v>
      </c>
      <c r="K5" s="5">
        <v>33</v>
      </c>
      <c r="L5" s="3">
        <v>51.948</v>
      </c>
    </row>
    <row r="6" spans="1:12" x14ac:dyDescent="0.45">
      <c r="A6" s="11" t="s">
        <v>9</v>
      </c>
      <c r="B6" s="11">
        <v>2025</v>
      </c>
      <c r="C6" s="6">
        <v>45730</v>
      </c>
      <c r="D6" s="11" t="s">
        <v>10</v>
      </c>
      <c r="E6" s="5" t="s">
        <v>67</v>
      </c>
      <c r="F6" s="5" t="s">
        <v>22</v>
      </c>
      <c r="G6" s="19">
        <v>24.205479452054796</v>
      </c>
      <c r="H6" s="11">
        <v>2</v>
      </c>
      <c r="I6" s="5">
        <v>20</v>
      </c>
      <c r="J6" s="5">
        <f t="shared" ref="J6:J69" si="1">K6-I6</f>
        <v>6</v>
      </c>
      <c r="K6" s="5">
        <v>26</v>
      </c>
      <c r="L6">
        <v>51.948</v>
      </c>
    </row>
    <row r="7" spans="1:12" x14ac:dyDescent="0.45">
      <c r="A7" s="11" t="s">
        <v>9</v>
      </c>
      <c r="B7" s="11">
        <v>2025</v>
      </c>
      <c r="C7" s="6">
        <v>45730</v>
      </c>
      <c r="D7" s="11" t="s">
        <v>10</v>
      </c>
      <c r="E7" s="5" t="s">
        <v>82</v>
      </c>
      <c r="F7" s="5" t="s">
        <v>11</v>
      </c>
      <c r="G7" s="19">
        <v>21.134246575342466</v>
      </c>
      <c r="H7" s="11">
        <v>3</v>
      </c>
      <c r="I7" s="5">
        <v>20</v>
      </c>
      <c r="J7" s="5">
        <f t="shared" si="1"/>
        <v>1</v>
      </c>
      <c r="K7" s="5">
        <v>21</v>
      </c>
      <c r="L7">
        <v>51.948</v>
      </c>
    </row>
    <row r="8" spans="1:12" x14ac:dyDescent="0.45">
      <c r="A8" s="5" t="s">
        <v>13</v>
      </c>
      <c r="B8" s="11">
        <v>2024</v>
      </c>
      <c r="C8" s="13">
        <v>45583</v>
      </c>
      <c r="D8" s="11" t="s">
        <v>14</v>
      </c>
      <c r="E8" s="11" t="s">
        <v>67</v>
      </c>
      <c r="F8" s="11" t="s">
        <v>22</v>
      </c>
      <c r="G8" s="20">
        <v>23.802739726027397</v>
      </c>
      <c r="H8" s="11">
        <v>1</v>
      </c>
      <c r="I8" s="11">
        <v>20</v>
      </c>
      <c r="J8" s="5">
        <f t="shared" si="1"/>
        <v>10</v>
      </c>
      <c r="K8" s="11">
        <v>30</v>
      </c>
      <c r="L8" s="1">
        <v>52.326000000000001</v>
      </c>
    </row>
    <row r="9" spans="1:12" x14ac:dyDescent="0.45">
      <c r="A9" s="5" t="s">
        <v>13</v>
      </c>
      <c r="B9" s="11">
        <v>2024</v>
      </c>
      <c r="C9" s="13">
        <v>45583</v>
      </c>
      <c r="D9" s="11" t="s">
        <v>14</v>
      </c>
      <c r="E9" s="11" t="s">
        <v>62</v>
      </c>
      <c r="F9" s="11" t="s">
        <v>23</v>
      </c>
      <c r="G9" s="20">
        <v>22.778082191780822</v>
      </c>
      <c r="H9" s="11">
        <v>2</v>
      </c>
      <c r="I9" s="11">
        <v>20</v>
      </c>
      <c r="J9" s="5">
        <f t="shared" si="1"/>
        <v>3</v>
      </c>
      <c r="K9" s="11">
        <v>23</v>
      </c>
      <c r="L9" s="1">
        <v>52.326000000000001</v>
      </c>
    </row>
    <row r="10" spans="1:12" x14ac:dyDescent="0.45">
      <c r="A10" s="5" t="s">
        <v>13</v>
      </c>
      <c r="B10" s="11">
        <v>2024</v>
      </c>
      <c r="C10" s="13">
        <v>45583</v>
      </c>
      <c r="D10" s="11" t="s">
        <v>14</v>
      </c>
      <c r="E10" s="11" t="s">
        <v>79</v>
      </c>
      <c r="F10" s="11" t="s">
        <v>25</v>
      </c>
      <c r="G10" s="20">
        <v>25.539726027397261</v>
      </c>
      <c r="H10" s="11">
        <v>3</v>
      </c>
      <c r="I10" s="11">
        <v>20</v>
      </c>
      <c r="J10" s="5">
        <f t="shared" si="1"/>
        <v>1</v>
      </c>
      <c r="K10" s="11">
        <v>21</v>
      </c>
      <c r="L10" s="1">
        <v>52.326000000000001</v>
      </c>
    </row>
    <row r="11" spans="1:12" x14ac:dyDescent="0.45">
      <c r="A11" s="11" t="s">
        <v>16</v>
      </c>
      <c r="B11" s="7">
        <v>2024</v>
      </c>
      <c r="C11" s="8">
        <v>45543</v>
      </c>
      <c r="D11" s="7" t="s">
        <v>17</v>
      </c>
      <c r="E11" s="7" t="s">
        <v>83</v>
      </c>
      <c r="F11" s="7" t="s">
        <v>51</v>
      </c>
      <c r="G11" s="19">
        <v>23.4</v>
      </c>
      <c r="H11" s="7">
        <v>1</v>
      </c>
      <c r="I11" s="7">
        <v>20</v>
      </c>
      <c r="J11" s="5">
        <f t="shared" si="1"/>
        <v>4</v>
      </c>
      <c r="K11" s="7">
        <v>24</v>
      </c>
      <c r="L11" s="4">
        <v>52.838000000000001</v>
      </c>
    </row>
    <row r="12" spans="1:12" x14ac:dyDescent="0.45">
      <c r="A12" s="11" t="s">
        <v>16</v>
      </c>
      <c r="B12" s="7">
        <v>2024</v>
      </c>
      <c r="C12" s="8">
        <v>45543</v>
      </c>
      <c r="D12" s="7" t="s">
        <v>17</v>
      </c>
      <c r="E12" s="7" t="s">
        <v>64</v>
      </c>
      <c r="F12" s="7" t="s">
        <v>49</v>
      </c>
      <c r="G12" s="19">
        <v>29.728767123287671</v>
      </c>
      <c r="H12" s="7">
        <v>2</v>
      </c>
      <c r="I12" s="7">
        <v>0</v>
      </c>
      <c r="J12" s="5">
        <f t="shared" si="1"/>
        <v>9</v>
      </c>
      <c r="K12" s="7">
        <v>9</v>
      </c>
      <c r="L12" s="4">
        <v>52.838000000000001</v>
      </c>
    </row>
    <row r="13" spans="1:12" x14ac:dyDescent="0.45">
      <c r="A13" s="11" t="s">
        <v>16</v>
      </c>
      <c r="B13" s="7">
        <v>2024</v>
      </c>
      <c r="C13" s="8">
        <v>45543</v>
      </c>
      <c r="D13" s="7" t="s">
        <v>17</v>
      </c>
      <c r="E13" s="7" t="s">
        <v>70</v>
      </c>
      <c r="F13" s="7" t="s">
        <v>52</v>
      </c>
      <c r="G13" s="19">
        <v>27.69041095890411</v>
      </c>
      <c r="H13" s="7">
        <v>3</v>
      </c>
      <c r="I13" s="7">
        <v>0</v>
      </c>
      <c r="J13" s="5">
        <f t="shared" si="1"/>
        <v>8</v>
      </c>
      <c r="K13" s="7">
        <v>8</v>
      </c>
      <c r="L13" s="4">
        <v>52.838000000000001</v>
      </c>
    </row>
    <row r="14" spans="1:12" x14ac:dyDescent="0.45">
      <c r="A14" s="5" t="s">
        <v>20</v>
      </c>
      <c r="B14" s="11">
        <v>2024</v>
      </c>
      <c r="C14" s="13">
        <v>45396</v>
      </c>
      <c r="D14" s="11" t="s">
        <v>10</v>
      </c>
      <c r="E14" s="11" t="s">
        <v>65</v>
      </c>
      <c r="F14" s="11" t="s">
        <v>25</v>
      </c>
      <c r="G14" s="20">
        <v>30.112328767123287</v>
      </c>
      <c r="H14" s="11">
        <v>1</v>
      </c>
      <c r="I14" s="11">
        <v>20</v>
      </c>
      <c r="J14" s="5">
        <f t="shared" si="1"/>
        <v>6</v>
      </c>
      <c r="K14" s="11">
        <v>26</v>
      </c>
      <c r="L14" s="1">
        <v>52.326000000000001</v>
      </c>
    </row>
    <row r="15" spans="1:12" x14ac:dyDescent="0.45">
      <c r="A15" s="5" t="s">
        <v>20</v>
      </c>
      <c r="B15" s="11">
        <v>2024</v>
      </c>
      <c r="C15" s="13">
        <v>45396</v>
      </c>
      <c r="D15" s="11" t="s">
        <v>10</v>
      </c>
      <c r="E15" s="11" t="s">
        <v>84</v>
      </c>
      <c r="F15" s="11" t="s">
        <v>31</v>
      </c>
      <c r="G15" s="20">
        <v>21.706849315068492</v>
      </c>
      <c r="H15" s="11">
        <v>2</v>
      </c>
      <c r="I15" s="11">
        <v>20</v>
      </c>
      <c r="J15" s="5">
        <f t="shared" si="1"/>
        <v>2</v>
      </c>
      <c r="K15" s="11">
        <v>22</v>
      </c>
      <c r="L15" s="1">
        <v>52.326000000000001</v>
      </c>
    </row>
    <row r="16" spans="1:12" x14ac:dyDescent="0.45">
      <c r="A16" s="5" t="s">
        <v>20</v>
      </c>
      <c r="B16" s="11">
        <v>2024</v>
      </c>
      <c r="C16" s="13">
        <v>45396</v>
      </c>
      <c r="D16" s="11" t="s">
        <v>10</v>
      </c>
      <c r="E16" s="11" t="s">
        <v>85</v>
      </c>
      <c r="F16" s="11" t="s">
        <v>32</v>
      </c>
      <c r="G16" s="20">
        <v>25.293150684931508</v>
      </c>
      <c r="H16" s="11">
        <v>3</v>
      </c>
      <c r="I16" s="11">
        <v>20</v>
      </c>
      <c r="J16" s="5">
        <f t="shared" si="1"/>
        <v>2</v>
      </c>
      <c r="K16" s="11">
        <v>22</v>
      </c>
      <c r="L16" s="1">
        <v>52.326000000000001</v>
      </c>
    </row>
    <row r="17" spans="1:12" x14ac:dyDescent="0.45">
      <c r="A17" s="11" t="s">
        <v>21</v>
      </c>
      <c r="B17" s="21">
        <v>2024</v>
      </c>
      <c r="C17" s="22">
        <v>45368</v>
      </c>
      <c r="D17" s="21" t="s">
        <v>10</v>
      </c>
      <c r="E17" s="21" t="s">
        <v>86</v>
      </c>
      <c r="F17" s="21" t="s">
        <v>22</v>
      </c>
      <c r="G17" s="23">
        <v>26.383561643835616</v>
      </c>
      <c r="H17" s="21">
        <v>1</v>
      </c>
      <c r="I17" s="21">
        <v>20</v>
      </c>
      <c r="J17" s="5">
        <f t="shared" si="1"/>
        <v>7</v>
      </c>
      <c r="K17" s="21">
        <v>27</v>
      </c>
      <c r="L17" s="29">
        <v>50.561999999999998</v>
      </c>
    </row>
    <row r="18" spans="1:12" x14ac:dyDescent="0.45">
      <c r="A18" s="11" t="s">
        <v>21</v>
      </c>
      <c r="B18" s="21">
        <v>2024</v>
      </c>
      <c r="C18" s="22">
        <v>45368</v>
      </c>
      <c r="D18" s="21" t="s">
        <v>10</v>
      </c>
      <c r="E18" s="21" t="s">
        <v>62</v>
      </c>
      <c r="F18" s="21" t="s">
        <v>87</v>
      </c>
      <c r="G18" s="23">
        <v>22.18904109589041</v>
      </c>
      <c r="H18" s="21">
        <v>2</v>
      </c>
      <c r="I18" s="21">
        <v>20</v>
      </c>
      <c r="J18" s="5">
        <f t="shared" si="1"/>
        <v>6</v>
      </c>
      <c r="K18" s="21">
        <v>26</v>
      </c>
      <c r="L18" s="29">
        <v>50.561999999999998</v>
      </c>
    </row>
    <row r="19" spans="1:12" x14ac:dyDescent="0.45">
      <c r="A19" s="11" t="s">
        <v>21</v>
      </c>
      <c r="B19" s="21">
        <v>2024</v>
      </c>
      <c r="C19" s="22">
        <v>45368</v>
      </c>
      <c r="D19" s="21" t="s">
        <v>10</v>
      </c>
      <c r="E19" s="21" t="s">
        <v>83</v>
      </c>
      <c r="F19" s="21" t="s">
        <v>51</v>
      </c>
      <c r="G19" s="23">
        <v>22.920547945205481</v>
      </c>
      <c r="H19" s="21">
        <v>3</v>
      </c>
      <c r="I19" s="21">
        <v>20</v>
      </c>
      <c r="J19" s="5">
        <f t="shared" si="1"/>
        <v>4</v>
      </c>
      <c r="K19" s="21">
        <v>24</v>
      </c>
      <c r="L19" s="29">
        <v>50.561999999999998</v>
      </c>
    </row>
    <row r="20" spans="1:12" x14ac:dyDescent="0.45">
      <c r="A20" s="11" t="s">
        <v>24</v>
      </c>
      <c r="B20" s="11">
        <v>2024</v>
      </c>
      <c r="C20" s="13">
        <v>45325</v>
      </c>
      <c r="D20" s="11" t="s">
        <v>10</v>
      </c>
      <c r="E20" s="11" t="s">
        <v>66</v>
      </c>
      <c r="F20" s="11" t="s">
        <v>23</v>
      </c>
      <c r="G20" s="20">
        <v>26.835616438356166</v>
      </c>
      <c r="H20" s="11">
        <v>1</v>
      </c>
      <c r="I20" s="11">
        <v>20</v>
      </c>
      <c r="J20" s="5">
        <f t="shared" si="1"/>
        <v>5</v>
      </c>
      <c r="K20" s="11">
        <v>25</v>
      </c>
      <c r="L20" s="1">
        <v>53.677999999999997</v>
      </c>
    </row>
    <row r="21" spans="1:12" x14ac:dyDescent="0.45">
      <c r="A21" s="11" t="s">
        <v>24</v>
      </c>
      <c r="B21" s="11">
        <v>2024</v>
      </c>
      <c r="C21" s="13">
        <v>45325</v>
      </c>
      <c r="D21" s="11" t="s">
        <v>10</v>
      </c>
      <c r="E21" s="11" t="s">
        <v>65</v>
      </c>
      <c r="F21" s="11" t="s">
        <v>25</v>
      </c>
      <c r="G21" s="20">
        <v>29.917808219178081</v>
      </c>
      <c r="H21" s="11">
        <v>2</v>
      </c>
      <c r="I21" s="11">
        <v>20</v>
      </c>
      <c r="J21" s="5">
        <f t="shared" si="1"/>
        <v>4</v>
      </c>
      <c r="K21" s="11">
        <v>24</v>
      </c>
      <c r="L21" s="1">
        <v>53.677999999999997</v>
      </c>
    </row>
    <row r="22" spans="1:12" x14ac:dyDescent="0.45">
      <c r="A22" s="11" t="s">
        <v>24</v>
      </c>
      <c r="B22" s="11">
        <v>2024</v>
      </c>
      <c r="C22" s="13">
        <v>45325</v>
      </c>
      <c r="D22" s="11" t="s">
        <v>10</v>
      </c>
      <c r="E22" s="11" t="s">
        <v>67</v>
      </c>
      <c r="F22" s="11" t="s">
        <v>22</v>
      </c>
      <c r="G22" s="20">
        <v>23.095890410958905</v>
      </c>
      <c r="H22" s="11">
        <v>3</v>
      </c>
      <c r="I22" s="11">
        <v>20</v>
      </c>
      <c r="J22" s="5">
        <f t="shared" si="1"/>
        <v>2</v>
      </c>
      <c r="K22" s="11">
        <v>22</v>
      </c>
      <c r="L22" s="1">
        <v>53.677999999999997</v>
      </c>
    </row>
    <row r="23" spans="1:12" x14ac:dyDescent="0.45">
      <c r="A23" s="12" t="s">
        <v>26</v>
      </c>
      <c r="B23" s="21">
        <v>2023</v>
      </c>
      <c r="C23" s="22">
        <v>45147</v>
      </c>
      <c r="D23" s="21" t="s">
        <v>14</v>
      </c>
      <c r="E23" s="21" t="s">
        <v>64</v>
      </c>
      <c r="F23" s="21" t="s">
        <v>49</v>
      </c>
      <c r="G23" s="23">
        <v>28.643835616438356</v>
      </c>
      <c r="H23" s="21">
        <v>1</v>
      </c>
      <c r="I23" s="21">
        <v>20</v>
      </c>
      <c r="J23" s="5">
        <f t="shared" si="1"/>
        <v>10</v>
      </c>
      <c r="K23" s="21">
        <v>30</v>
      </c>
      <c r="L23" s="29">
        <v>55.101999999999997</v>
      </c>
    </row>
    <row r="24" spans="1:12" x14ac:dyDescent="0.45">
      <c r="A24" s="12" t="s">
        <v>26</v>
      </c>
      <c r="B24" s="21">
        <v>2023</v>
      </c>
      <c r="C24" s="22">
        <v>45147</v>
      </c>
      <c r="D24" s="21" t="s">
        <v>14</v>
      </c>
      <c r="E24" s="21" t="s">
        <v>88</v>
      </c>
      <c r="F24" s="21" t="s">
        <v>27</v>
      </c>
      <c r="G24" s="23">
        <v>24.30958904109589</v>
      </c>
      <c r="H24" s="21">
        <v>2</v>
      </c>
      <c r="I24" s="21">
        <v>20</v>
      </c>
      <c r="J24" s="5">
        <f t="shared" si="1"/>
        <v>6</v>
      </c>
      <c r="K24" s="21">
        <v>26</v>
      </c>
      <c r="L24" s="29">
        <v>55.101999999999997</v>
      </c>
    </row>
    <row r="25" spans="1:12" x14ac:dyDescent="0.45">
      <c r="A25" s="12" t="s">
        <v>26</v>
      </c>
      <c r="B25" s="21">
        <v>2023</v>
      </c>
      <c r="C25" s="22">
        <v>45147</v>
      </c>
      <c r="D25" s="21" t="s">
        <v>14</v>
      </c>
      <c r="E25" s="21" t="s">
        <v>67</v>
      </c>
      <c r="F25" s="21" t="s">
        <v>22</v>
      </c>
      <c r="G25" s="23">
        <v>22.608219178082191</v>
      </c>
      <c r="H25" s="21">
        <v>3</v>
      </c>
      <c r="I25" s="21">
        <v>20</v>
      </c>
      <c r="J25" s="5">
        <f t="shared" si="1"/>
        <v>3</v>
      </c>
      <c r="K25" s="21">
        <v>23</v>
      </c>
      <c r="L25" s="29">
        <v>55.101999999999997</v>
      </c>
    </row>
    <row r="26" spans="1:12" x14ac:dyDescent="0.45">
      <c r="A26" s="5" t="s">
        <v>20</v>
      </c>
      <c r="B26" s="11">
        <v>2023</v>
      </c>
      <c r="C26" s="13">
        <v>45039</v>
      </c>
      <c r="D26" s="11" t="s">
        <v>10</v>
      </c>
      <c r="E26" s="11" t="s">
        <v>65</v>
      </c>
      <c r="F26" s="11" t="s">
        <v>25</v>
      </c>
      <c r="G26" s="19">
        <v>29.134246575342466</v>
      </c>
      <c r="H26" s="11">
        <v>1</v>
      </c>
      <c r="I26" s="5">
        <v>20</v>
      </c>
      <c r="J26" s="5">
        <f t="shared" si="1"/>
        <v>8</v>
      </c>
      <c r="K26" s="5">
        <v>28</v>
      </c>
      <c r="L26">
        <v>53.15</v>
      </c>
    </row>
    <row r="27" spans="1:12" x14ac:dyDescent="0.45">
      <c r="A27" s="5" t="s">
        <v>20</v>
      </c>
      <c r="B27" s="11">
        <v>2023</v>
      </c>
      <c r="C27" s="13">
        <v>45039</v>
      </c>
      <c r="D27" s="11" t="s">
        <v>10</v>
      </c>
      <c r="E27" s="11" t="s">
        <v>89</v>
      </c>
      <c r="F27" s="11" t="s">
        <v>11</v>
      </c>
      <c r="G27" s="19">
        <v>21.624657534246577</v>
      </c>
      <c r="H27" s="11">
        <v>2</v>
      </c>
      <c r="I27" s="5">
        <v>20</v>
      </c>
      <c r="J27" s="5">
        <f t="shared" si="1"/>
        <v>3</v>
      </c>
      <c r="K27" s="5">
        <v>23</v>
      </c>
      <c r="L27">
        <v>53.15</v>
      </c>
    </row>
    <row r="28" spans="1:12" x14ac:dyDescent="0.45">
      <c r="A28" s="5" t="s">
        <v>20</v>
      </c>
      <c r="B28" s="11">
        <v>2023</v>
      </c>
      <c r="C28" s="13">
        <v>45039</v>
      </c>
      <c r="D28" s="11" t="s">
        <v>10</v>
      </c>
      <c r="E28" s="11" t="s">
        <v>76</v>
      </c>
      <c r="F28" s="11" t="s">
        <v>12</v>
      </c>
      <c r="G28" s="19">
        <v>27.468493150684932</v>
      </c>
      <c r="H28" s="11">
        <v>3</v>
      </c>
      <c r="I28" s="5">
        <v>0</v>
      </c>
      <c r="J28" s="5">
        <f t="shared" si="1"/>
        <v>4</v>
      </c>
      <c r="K28" s="5">
        <v>4</v>
      </c>
      <c r="L28">
        <v>53.15</v>
      </c>
    </row>
    <row r="29" spans="1:12" x14ac:dyDescent="0.45">
      <c r="A29" s="7" t="s">
        <v>28</v>
      </c>
      <c r="B29" s="24">
        <v>2023</v>
      </c>
      <c r="C29" s="8">
        <v>45002</v>
      </c>
      <c r="D29" s="7" t="s">
        <v>10</v>
      </c>
      <c r="E29" s="7" t="s">
        <v>67</v>
      </c>
      <c r="F29" s="7" t="s">
        <v>22</v>
      </c>
      <c r="G29" s="19">
        <v>22.210958904109589</v>
      </c>
      <c r="H29" s="7">
        <v>1</v>
      </c>
      <c r="I29" s="7">
        <v>20</v>
      </c>
      <c r="J29" s="5">
        <f t="shared" si="1"/>
        <v>4</v>
      </c>
      <c r="K29" s="7">
        <v>24</v>
      </c>
      <c r="L29" s="4">
        <v>52.734000000000002</v>
      </c>
    </row>
    <row r="30" spans="1:12" x14ac:dyDescent="0.45">
      <c r="A30" s="7" t="s">
        <v>28</v>
      </c>
      <c r="B30" s="24">
        <v>2023</v>
      </c>
      <c r="C30" s="8">
        <v>45002</v>
      </c>
      <c r="D30" s="7" t="s">
        <v>10</v>
      </c>
      <c r="E30" s="7" t="s">
        <v>90</v>
      </c>
      <c r="F30" s="7" t="s">
        <v>15</v>
      </c>
      <c r="G30" s="19">
        <v>26.830136986301369</v>
      </c>
      <c r="H30" s="7">
        <v>2</v>
      </c>
      <c r="I30" s="7">
        <v>20</v>
      </c>
      <c r="J30" s="5">
        <f t="shared" si="1"/>
        <v>4</v>
      </c>
      <c r="K30" s="7">
        <v>24</v>
      </c>
      <c r="L30" s="4">
        <v>52.734000000000002</v>
      </c>
    </row>
    <row r="31" spans="1:12" x14ac:dyDescent="0.45">
      <c r="A31" s="7" t="s">
        <v>28</v>
      </c>
      <c r="B31" s="24">
        <v>2023</v>
      </c>
      <c r="C31" s="8">
        <v>45002</v>
      </c>
      <c r="D31" s="7" t="s">
        <v>10</v>
      </c>
      <c r="E31" s="7" t="s">
        <v>91</v>
      </c>
      <c r="F31" s="7" t="s">
        <v>27</v>
      </c>
      <c r="G31" s="19">
        <v>22.597260273972601</v>
      </c>
      <c r="H31" s="7">
        <v>3</v>
      </c>
      <c r="I31" s="7">
        <v>20</v>
      </c>
      <c r="J31" s="5">
        <f t="shared" si="1"/>
        <v>3</v>
      </c>
      <c r="K31" s="7">
        <v>23</v>
      </c>
      <c r="L31" s="4">
        <v>52.734000000000002</v>
      </c>
    </row>
    <row r="32" spans="1:12" x14ac:dyDescent="0.45">
      <c r="A32" s="11" t="s">
        <v>29</v>
      </c>
      <c r="B32" s="11">
        <v>2023</v>
      </c>
      <c r="C32" s="13">
        <v>44983</v>
      </c>
      <c r="D32" s="11" t="s">
        <v>10</v>
      </c>
      <c r="E32" s="11" t="s">
        <v>69</v>
      </c>
      <c r="F32" s="11" t="s">
        <v>27</v>
      </c>
      <c r="G32" s="19">
        <v>24.139726027397259</v>
      </c>
      <c r="H32" s="11">
        <v>1</v>
      </c>
      <c r="I32" s="11">
        <v>20</v>
      </c>
      <c r="J32" s="5">
        <f t="shared" si="1"/>
        <v>4</v>
      </c>
      <c r="K32" s="11">
        <v>24</v>
      </c>
      <c r="L32">
        <v>52.023000000000003</v>
      </c>
    </row>
    <row r="33" spans="1:12" x14ac:dyDescent="0.45">
      <c r="A33" s="11" t="s">
        <v>29</v>
      </c>
      <c r="B33" s="11">
        <v>2023</v>
      </c>
      <c r="C33" s="13">
        <v>44983</v>
      </c>
      <c r="D33" s="11" t="s">
        <v>10</v>
      </c>
      <c r="E33" s="11" t="s">
        <v>67</v>
      </c>
      <c r="F33" s="11" t="s">
        <v>22</v>
      </c>
      <c r="G33" s="19">
        <v>22.158904109589042</v>
      </c>
      <c r="H33" s="11">
        <v>2</v>
      </c>
      <c r="I33" s="11">
        <v>20</v>
      </c>
      <c r="J33" s="5">
        <f t="shared" si="1"/>
        <v>1</v>
      </c>
      <c r="K33" s="11">
        <v>21</v>
      </c>
      <c r="L33">
        <v>52.023000000000003</v>
      </c>
    </row>
    <row r="34" spans="1:12" x14ac:dyDescent="0.45">
      <c r="A34" s="11" t="s">
        <v>29</v>
      </c>
      <c r="B34" s="11">
        <v>2023</v>
      </c>
      <c r="C34" s="13">
        <v>44983</v>
      </c>
      <c r="D34" s="11" t="s">
        <v>10</v>
      </c>
      <c r="E34" s="11" t="s">
        <v>92</v>
      </c>
      <c r="F34" s="11" t="s">
        <v>93</v>
      </c>
      <c r="G34" s="19">
        <v>30.517808219178082</v>
      </c>
      <c r="H34" s="11">
        <v>3</v>
      </c>
      <c r="I34" s="11">
        <v>20</v>
      </c>
      <c r="J34" s="5">
        <f t="shared" si="1"/>
        <v>1</v>
      </c>
      <c r="K34" s="11">
        <v>21</v>
      </c>
      <c r="L34">
        <v>52.023000000000003</v>
      </c>
    </row>
    <row r="35" spans="1:12" x14ac:dyDescent="0.45">
      <c r="A35" s="7" t="s">
        <v>16</v>
      </c>
      <c r="B35" s="7">
        <v>2022</v>
      </c>
      <c r="C35" s="8">
        <v>44848</v>
      </c>
      <c r="D35" s="7" t="s">
        <v>14</v>
      </c>
      <c r="E35" s="7" t="s">
        <v>89</v>
      </c>
      <c r="F35" s="7" t="s">
        <v>11</v>
      </c>
      <c r="G35" s="19">
        <v>21.101369863013698</v>
      </c>
      <c r="H35" s="7">
        <v>1</v>
      </c>
      <c r="I35" s="7">
        <v>20</v>
      </c>
      <c r="J35" s="5">
        <f t="shared" si="1"/>
        <v>3</v>
      </c>
      <c r="K35" s="7">
        <v>23</v>
      </c>
      <c r="L35">
        <v>53.15</v>
      </c>
    </row>
    <row r="36" spans="1:12" x14ac:dyDescent="0.45">
      <c r="A36" s="7" t="s">
        <v>16</v>
      </c>
      <c r="B36" s="7">
        <v>2022</v>
      </c>
      <c r="C36" s="8">
        <v>44848</v>
      </c>
      <c r="D36" s="7" t="s">
        <v>14</v>
      </c>
      <c r="E36" s="7" t="s">
        <v>92</v>
      </c>
      <c r="F36" s="7" t="s">
        <v>93</v>
      </c>
      <c r="G36" s="19">
        <v>30.147945205479452</v>
      </c>
      <c r="H36" s="7">
        <v>2</v>
      </c>
      <c r="I36" s="7">
        <v>20</v>
      </c>
      <c r="J36" s="5">
        <f t="shared" si="1"/>
        <v>2</v>
      </c>
      <c r="K36" s="7">
        <v>22</v>
      </c>
      <c r="L36">
        <v>53.15</v>
      </c>
    </row>
    <row r="37" spans="1:12" x14ac:dyDescent="0.45">
      <c r="A37" s="7" t="s">
        <v>16</v>
      </c>
      <c r="B37" s="7">
        <v>2022</v>
      </c>
      <c r="C37" s="8">
        <v>44848</v>
      </c>
      <c r="D37" s="7" t="s">
        <v>14</v>
      </c>
      <c r="E37" s="7" t="s">
        <v>94</v>
      </c>
      <c r="F37" s="7" t="s">
        <v>18</v>
      </c>
      <c r="G37" s="19">
        <v>23.282191780821918</v>
      </c>
      <c r="H37" s="7">
        <v>3</v>
      </c>
      <c r="I37" s="7">
        <v>20</v>
      </c>
      <c r="J37" s="5">
        <f t="shared" si="1"/>
        <v>2</v>
      </c>
      <c r="K37" s="7">
        <v>22</v>
      </c>
      <c r="L37">
        <v>53.15</v>
      </c>
    </row>
    <row r="38" spans="1:12" x14ac:dyDescent="0.45">
      <c r="A38" s="11" t="s">
        <v>30</v>
      </c>
      <c r="B38" s="11">
        <v>2022</v>
      </c>
      <c r="C38" s="13">
        <v>44751</v>
      </c>
      <c r="D38" s="11" t="s">
        <v>10</v>
      </c>
      <c r="E38" s="11" t="s">
        <v>64</v>
      </c>
      <c r="F38" s="11" t="s">
        <v>49</v>
      </c>
      <c r="G38" s="19">
        <v>27.55890410958904</v>
      </c>
      <c r="H38" s="11">
        <v>1</v>
      </c>
      <c r="I38" s="11">
        <v>20</v>
      </c>
      <c r="J38" s="5">
        <f t="shared" si="1"/>
        <v>11</v>
      </c>
      <c r="K38" s="11">
        <v>31</v>
      </c>
      <c r="L38">
        <v>49.631999999999998</v>
      </c>
    </row>
    <row r="39" spans="1:12" x14ac:dyDescent="0.45">
      <c r="A39" s="11" t="s">
        <v>30</v>
      </c>
      <c r="B39" s="11">
        <v>2022</v>
      </c>
      <c r="C39" s="13">
        <v>44751</v>
      </c>
      <c r="D39" s="11" t="s">
        <v>10</v>
      </c>
      <c r="E39" s="11" t="s">
        <v>84</v>
      </c>
      <c r="F39" s="11" t="s">
        <v>31</v>
      </c>
      <c r="G39" s="19">
        <v>19.93972602739726</v>
      </c>
      <c r="H39" s="11">
        <v>2</v>
      </c>
      <c r="I39" s="11">
        <v>0</v>
      </c>
      <c r="J39" s="5">
        <f t="shared" si="1"/>
        <v>8</v>
      </c>
      <c r="K39" s="11">
        <v>8</v>
      </c>
      <c r="L39">
        <v>49.631999999999998</v>
      </c>
    </row>
    <row r="40" spans="1:12" x14ac:dyDescent="0.45">
      <c r="A40" s="11" t="s">
        <v>30</v>
      </c>
      <c r="B40" s="11">
        <v>2022</v>
      </c>
      <c r="C40" s="13">
        <v>44751</v>
      </c>
      <c r="D40" s="11" t="s">
        <v>10</v>
      </c>
      <c r="E40" s="11" t="s">
        <v>95</v>
      </c>
      <c r="F40" s="11" t="s">
        <v>60</v>
      </c>
      <c r="G40" s="19">
        <v>28.276712328767122</v>
      </c>
      <c r="H40" s="11">
        <v>3</v>
      </c>
      <c r="I40" s="11">
        <v>0</v>
      </c>
      <c r="J40" s="5">
        <f t="shared" si="1"/>
        <v>3</v>
      </c>
      <c r="K40" s="11">
        <v>3</v>
      </c>
      <c r="L40">
        <v>49.631999999999998</v>
      </c>
    </row>
    <row r="41" spans="1:12" x14ac:dyDescent="0.45">
      <c r="A41" s="7" t="s">
        <v>20</v>
      </c>
      <c r="B41" s="7">
        <v>2022</v>
      </c>
      <c r="C41" s="8">
        <v>44695</v>
      </c>
      <c r="D41" s="7" t="s">
        <v>10</v>
      </c>
      <c r="E41" s="7" t="s">
        <v>96</v>
      </c>
      <c r="F41" s="7" t="s">
        <v>25</v>
      </c>
      <c r="G41" s="19">
        <v>21.342465753424658</v>
      </c>
      <c r="H41" s="7">
        <v>1</v>
      </c>
      <c r="I41" s="7">
        <v>20</v>
      </c>
      <c r="J41" s="5">
        <f t="shared" si="1"/>
        <v>6</v>
      </c>
      <c r="K41" s="7">
        <v>26</v>
      </c>
      <c r="L41">
        <v>49.908000000000001</v>
      </c>
    </row>
    <row r="42" spans="1:12" x14ac:dyDescent="0.45">
      <c r="A42" s="7" t="s">
        <v>20</v>
      </c>
      <c r="B42" s="7">
        <v>2022</v>
      </c>
      <c r="C42" s="8">
        <v>44695</v>
      </c>
      <c r="D42" s="7" t="s">
        <v>10</v>
      </c>
      <c r="E42" s="7" t="s">
        <v>84</v>
      </c>
      <c r="F42" s="7" t="s">
        <v>31</v>
      </c>
      <c r="G42" s="19">
        <v>19.786301369863015</v>
      </c>
      <c r="H42" s="7">
        <v>2</v>
      </c>
      <c r="I42" s="7">
        <v>20</v>
      </c>
      <c r="J42" s="5">
        <f t="shared" si="1"/>
        <v>1</v>
      </c>
      <c r="K42" s="7">
        <v>21</v>
      </c>
      <c r="L42">
        <v>49.908000000000001</v>
      </c>
    </row>
    <row r="43" spans="1:12" x14ac:dyDescent="0.45">
      <c r="A43" s="7" t="s">
        <v>20</v>
      </c>
      <c r="B43" s="7">
        <v>2022</v>
      </c>
      <c r="C43" s="8">
        <v>44695</v>
      </c>
      <c r="D43" s="7" t="s">
        <v>10</v>
      </c>
      <c r="E43" s="7" t="s">
        <v>97</v>
      </c>
      <c r="F43" s="7" t="s">
        <v>39</v>
      </c>
      <c r="G43" s="19">
        <v>26.224657534246575</v>
      </c>
      <c r="H43" s="7">
        <v>3</v>
      </c>
      <c r="I43" s="7">
        <v>0</v>
      </c>
      <c r="J43" s="5">
        <f t="shared" si="1"/>
        <v>8</v>
      </c>
      <c r="K43" s="7">
        <v>8</v>
      </c>
      <c r="L43">
        <v>49.908000000000001</v>
      </c>
    </row>
    <row r="44" spans="1:12" x14ac:dyDescent="0.45">
      <c r="A44" s="11" t="s">
        <v>26</v>
      </c>
      <c r="B44" s="11">
        <v>2022</v>
      </c>
      <c r="C44" s="13">
        <v>44674</v>
      </c>
      <c r="D44" s="11" t="s">
        <v>10</v>
      </c>
      <c r="E44" s="11" t="s">
        <v>65</v>
      </c>
      <c r="F44" s="11" t="s">
        <v>25</v>
      </c>
      <c r="G44" s="19">
        <v>28.134246575342466</v>
      </c>
      <c r="H44" s="11">
        <v>1</v>
      </c>
      <c r="I44" s="11">
        <v>20</v>
      </c>
      <c r="J44" s="5">
        <f t="shared" si="1"/>
        <v>8</v>
      </c>
      <c r="K44" s="11">
        <v>28</v>
      </c>
      <c r="L44">
        <v>52.124000000000002</v>
      </c>
    </row>
    <row r="45" spans="1:12" x14ac:dyDescent="0.45">
      <c r="A45" s="11" t="s">
        <v>26</v>
      </c>
      <c r="B45" s="11">
        <v>2022</v>
      </c>
      <c r="C45" s="13">
        <v>44674</v>
      </c>
      <c r="D45" s="11" t="s">
        <v>10</v>
      </c>
      <c r="E45" s="11" t="s">
        <v>67</v>
      </c>
      <c r="F45" s="11" t="s">
        <v>22</v>
      </c>
      <c r="G45" s="19">
        <v>21.312328767123287</v>
      </c>
      <c r="H45" s="11">
        <v>2</v>
      </c>
      <c r="I45" s="11">
        <v>20</v>
      </c>
      <c r="J45" s="5">
        <f t="shared" si="1"/>
        <v>5</v>
      </c>
      <c r="K45" s="11">
        <v>25</v>
      </c>
      <c r="L45">
        <v>52.124000000000002</v>
      </c>
    </row>
    <row r="46" spans="1:12" x14ac:dyDescent="0.45">
      <c r="A46" s="11" t="s">
        <v>26</v>
      </c>
      <c r="B46" s="11">
        <v>2022</v>
      </c>
      <c r="C46" s="13">
        <v>44674</v>
      </c>
      <c r="D46" s="11" t="s">
        <v>10</v>
      </c>
      <c r="E46" s="11" t="s">
        <v>66</v>
      </c>
      <c r="F46" s="11" t="s">
        <v>23</v>
      </c>
      <c r="G46" s="19">
        <v>25.052054794520547</v>
      </c>
      <c r="H46" s="11">
        <v>3</v>
      </c>
      <c r="I46" s="11">
        <v>0</v>
      </c>
      <c r="J46" s="5">
        <f t="shared" si="1"/>
        <v>2</v>
      </c>
      <c r="K46" s="11">
        <v>2</v>
      </c>
      <c r="L46">
        <v>52.124000000000002</v>
      </c>
    </row>
    <row r="47" spans="1:12" x14ac:dyDescent="0.45">
      <c r="A47" s="7" t="s">
        <v>33</v>
      </c>
      <c r="B47" s="7">
        <v>2021</v>
      </c>
      <c r="C47" s="8">
        <v>44491</v>
      </c>
      <c r="D47" s="7" t="s">
        <v>14</v>
      </c>
      <c r="E47" s="7" t="s">
        <v>65</v>
      </c>
      <c r="F47" s="7" t="s">
        <v>25</v>
      </c>
      <c r="G47" s="19">
        <v>27.632876712328766</v>
      </c>
      <c r="H47" s="7">
        <v>1</v>
      </c>
      <c r="I47" s="7">
        <v>20</v>
      </c>
      <c r="J47" s="5">
        <f t="shared" si="1"/>
        <v>14</v>
      </c>
      <c r="K47" s="7">
        <v>34</v>
      </c>
      <c r="L47">
        <v>51.923000000000002</v>
      </c>
    </row>
    <row r="48" spans="1:12" x14ac:dyDescent="0.45">
      <c r="A48" s="7" t="s">
        <v>33</v>
      </c>
      <c r="B48" s="7">
        <v>2021</v>
      </c>
      <c r="C48" s="8">
        <v>44491</v>
      </c>
      <c r="D48" s="7" t="s">
        <v>14</v>
      </c>
      <c r="E48" s="7" t="s">
        <v>98</v>
      </c>
      <c r="F48" s="7" t="s">
        <v>61</v>
      </c>
      <c r="G48" s="19">
        <v>29.745205479452054</v>
      </c>
      <c r="H48" s="7">
        <v>2</v>
      </c>
      <c r="I48" s="7">
        <v>20</v>
      </c>
      <c r="J48" s="5">
        <f t="shared" si="1"/>
        <v>4</v>
      </c>
      <c r="K48" s="7">
        <v>24</v>
      </c>
      <c r="L48">
        <v>51.923000000000002</v>
      </c>
    </row>
    <row r="49" spans="1:12" x14ac:dyDescent="0.45">
      <c r="A49" s="7" t="s">
        <v>33</v>
      </c>
      <c r="B49" s="7">
        <v>2021</v>
      </c>
      <c r="C49" s="8">
        <v>44491</v>
      </c>
      <c r="D49" s="7" t="s">
        <v>14</v>
      </c>
      <c r="E49" s="7" t="s">
        <v>76</v>
      </c>
      <c r="F49" s="7" t="s">
        <v>12</v>
      </c>
      <c r="G49" s="19">
        <v>25.967123287671232</v>
      </c>
      <c r="H49" s="7">
        <v>3</v>
      </c>
      <c r="I49" s="7">
        <v>20</v>
      </c>
      <c r="J49" s="5">
        <f t="shared" si="1"/>
        <v>1</v>
      </c>
      <c r="K49" s="7">
        <v>21</v>
      </c>
      <c r="L49">
        <v>51.923000000000002</v>
      </c>
    </row>
    <row r="50" spans="1:12" x14ac:dyDescent="0.45">
      <c r="A50" s="11" t="s">
        <v>30</v>
      </c>
      <c r="B50" s="11">
        <v>2021</v>
      </c>
      <c r="C50" s="13">
        <v>44450</v>
      </c>
      <c r="D50" s="11" t="s">
        <v>10</v>
      </c>
      <c r="E50" s="11" t="s">
        <v>85</v>
      </c>
      <c r="F50" s="11" t="s">
        <v>32</v>
      </c>
      <c r="G50" s="19">
        <v>22.701369863013699</v>
      </c>
      <c r="H50" s="11">
        <v>1</v>
      </c>
      <c r="I50" s="11">
        <v>0</v>
      </c>
      <c r="J50" s="5">
        <f t="shared" si="1"/>
        <v>8</v>
      </c>
      <c r="K50" s="11">
        <v>8</v>
      </c>
      <c r="L50">
        <v>48.481999999999999</v>
      </c>
    </row>
    <row r="51" spans="1:12" x14ac:dyDescent="0.45">
      <c r="A51" s="11" t="s">
        <v>30</v>
      </c>
      <c r="B51" s="11">
        <v>2021</v>
      </c>
      <c r="C51" s="13">
        <v>44450</v>
      </c>
      <c r="D51" s="11" t="s">
        <v>10</v>
      </c>
      <c r="E51" s="11" t="s">
        <v>84</v>
      </c>
      <c r="F51" s="11" t="s">
        <v>31</v>
      </c>
      <c r="G51" s="19">
        <v>19.115068493150684</v>
      </c>
      <c r="H51" s="11">
        <v>2</v>
      </c>
      <c r="I51" s="11">
        <v>0</v>
      </c>
      <c r="J51" s="5">
        <f t="shared" si="1"/>
        <v>5</v>
      </c>
      <c r="K51" s="11">
        <v>5</v>
      </c>
      <c r="L51">
        <v>48.481999999999999</v>
      </c>
    </row>
    <row r="52" spans="1:12" x14ac:dyDescent="0.45">
      <c r="A52" s="11" t="s">
        <v>30</v>
      </c>
      <c r="B52" s="11">
        <v>2021</v>
      </c>
      <c r="C52" s="13">
        <v>44450</v>
      </c>
      <c r="D52" s="11" t="s">
        <v>10</v>
      </c>
      <c r="E52" s="11" t="s">
        <v>70</v>
      </c>
      <c r="F52" s="11" t="s">
        <v>52</v>
      </c>
      <c r="G52" s="19">
        <v>24.695890410958903</v>
      </c>
      <c r="H52" s="11">
        <v>3</v>
      </c>
      <c r="I52" s="11">
        <v>0</v>
      </c>
      <c r="J52" s="5">
        <f t="shared" si="1"/>
        <v>4</v>
      </c>
      <c r="K52" s="11">
        <v>4</v>
      </c>
      <c r="L52">
        <v>48.481999999999999</v>
      </c>
    </row>
    <row r="53" spans="1:12" x14ac:dyDescent="0.45">
      <c r="A53" s="11" t="s">
        <v>34</v>
      </c>
      <c r="B53" s="25">
        <v>2021</v>
      </c>
      <c r="C53" s="26">
        <v>44416</v>
      </c>
      <c r="D53" s="25" t="s">
        <v>17</v>
      </c>
      <c r="E53" s="27" t="s">
        <v>73</v>
      </c>
      <c r="F53" s="27" t="s">
        <v>25</v>
      </c>
      <c r="G53" s="19">
        <v>29.30958904109589</v>
      </c>
      <c r="H53" s="28">
        <v>1</v>
      </c>
      <c r="I53">
        <v>0</v>
      </c>
      <c r="J53" s="5">
        <f t="shared" si="1"/>
        <v>7</v>
      </c>
      <c r="K53" s="4">
        <v>7</v>
      </c>
      <c r="L53">
        <v>52.79</v>
      </c>
    </row>
    <row r="54" spans="1:12" x14ac:dyDescent="0.45">
      <c r="A54" s="11" t="s">
        <v>34</v>
      </c>
      <c r="B54" s="25">
        <v>2021</v>
      </c>
      <c r="C54" s="26">
        <v>44416</v>
      </c>
      <c r="D54" s="25" t="s">
        <v>17</v>
      </c>
      <c r="E54" s="27" t="s">
        <v>78</v>
      </c>
      <c r="F54" s="27" t="s">
        <v>11</v>
      </c>
      <c r="G54" s="19">
        <v>38.841095890410962</v>
      </c>
      <c r="H54" s="28">
        <v>2</v>
      </c>
      <c r="I54">
        <v>0</v>
      </c>
      <c r="J54" s="5">
        <f t="shared" si="1"/>
        <v>3</v>
      </c>
      <c r="K54" s="4">
        <v>3</v>
      </c>
      <c r="L54">
        <v>52.79</v>
      </c>
    </row>
    <row r="55" spans="1:12" x14ac:dyDescent="0.45">
      <c r="A55" s="11" t="s">
        <v>34</v>
      </c>
      <c r="B55" s="25">
        <v>2021</v>
      </c>
      <c r="C55" s="26">
        <v>44416</v>
      </c>
      <c r="D55" s="25" t="s">
        <v>17</v>
      </c>
      <c r="E55" s="27" t="s">
        <v>64</v>
      </c>
      <c r="F55" s="27" t="s">
        <v>49</v>
      </c>
      <c r="G55" s="19">
        <v>26.641095890410959</v>
      </c>
      <c r="H55" s="28">
        <v>3</v>
      </c>
      <c r="I55">
        <v>0</v>
      </c>
      <c r="J55" s="5">
        <f t="shared" si="1"/>
        <v>3</v>
      </c>
      <c r="K55" s="4">
        <v>3</v>
      </c>
      <c r="L55">
        <v>52.79</v>
      </c>
    </row>
    <row r="56" spans="1:12" x14ac:dyDescent="0.45">
      <c r="A56" s="7" t="s">
        <v>35</v>
      </c>
      <c r="B56" s="7">
        <v>2021</v>
      </c>
      <c r="C56" s="8">
        <v>44387</v>
      </c>
      <c r="D56" s="7" t="s">
        <v>10</v>
      </c>
      <c r="E56" s="7" t="s">
        <v>99</v>
      </c>
      <c r="F56" s="7" t="s">
        <v>100</v>
      </c>
      <c r="G56" s="19">
        <v>26.610958904109587</v>
      </c>
      <c r="H56" s="7">
        <v>1</v>
      </c>
      <c r="I56" s="7">
        <v>20</v>
      </c>
      <c r="J56" s="5">
        <f t="shared" si="1"/>
        <v>7</v>
      </c>
      <c r="K56" s="7">
        <v>27</v>
      </c>
      <c r="L56">
        <v>50.353000000000002</v>
      </c>
    </row>
    <row r="57" spans="1:12" x14ac:dyDescent="0.45">
      <c r="A57" s="7" t="s">
        <v>35</v>
      </c>
      <c r="B57" s="7">
        <v>2021</v>
      </c>
      <c r="C57" s="8">
        <v>44387</v>
      </c>
      <c r="D57" s="7" t="s">
        <v>10</v>
      </c>
      <c r="E57" s="7" t="s">
        <v>83</v>
      </c>
      <c r="F57" s="7" t="s">
        <v>51</v>
      </c>
      <c r="G57" s="19">
        <v>20.232876712328768</v>
      </c>
      <c r="H57" s="7">
        <v>2</v>
      </c>
      <c r="I57" s="7">
        <v>20</v>
      </c>
      <c r="J57" s="5">
        <f t="shared" si="1"/>
        <v>5</v>
      </c>
      <c r="K57" s="7">
        <v>25</v>
      </c>
      <c r="L57">
        <v>50.353000000000002</v>
      </c>
    </row>
    <row r="58" spans="1:12" x14ac:dyDescent="0.45">
      <c r="A58" s="7" t="s">
        <v>35</v>
      </c>
      <c r="B58" s="7">
        <v>2021</v>
      </c>
      <c r="C58" s="8">
        <v>44387</v>
      </c>
      <c r="D58" s="7" t="s">
        <v>10</v>
      </c>
      <c r="E58" s="7" t="s">
        <v>94</v>
      </c>
      <c r="F58" s="7" t="s">
        <v>18</v>
      </c>
      <c r="G58" s="19">
        <v>22.019178082191782</v>
      </c>
      <c r="H58" s="7">
        <v>3</v>
      </c>
      <c r="I58" s="7">
        <v>20</v>
      </c>
      <c r="J58" s="5">
        <f t="shared" si="1"/>
        <v>3</v>
      </c>
      <c r="K58" s="7">
        <v>23</v>
      </c>
      <c r="L58">
        <v>50.353000000000002</v>
      </c>
    </row>
    <row r="59" spans="1:12" x14ac:dyDescent="0.45">
      <c r="A59" s="11" t="s">
        <v>37</v>
      </c>
      <c r="B59" s="11">
        <v>2020</v>
      </c>
      <c r="C59" s="13">
        <v>43889</v>
      </c>
      <c r="D59" s="11" t="s">
        <v>14</v>
      </c>
      <c r="E59" s="11" t="s">
        <v>101</v>
      </c>
      <c r="F59" s="11" t="s">
        <v>47</v>
      </c>
      <c r="G59" s="19">
        <v>35.602739726027394</v>
      </c>
      <c r="H59" s="11">
        <v>1</v>
      </c>
      <c r="I59" s="11">
        <v>20</v>
      </c>
      <c r="J59" s="5">
        <f t="shared" si="1"/>
        <v>7</v>
      </c>
      <c r="K59" s="11">
        <v>27</v>
      </c>
    </row>
    <row r="60" spans="1:12" x14ac:dyDescent="0.45">
      <c r="A60" s="11" t="s">
        <v>37</v>
      </c>
      <c r="B60" s="11">
        <v>2020</v>
      </c>
      <c r="C60" s="13">
        <v>43889</v>
      </c>
      <c r="D60" s="11" t="s">
        <v>14</v>
      </c>
      <c r="E60" s="11" t="s">
        <v>66</v>
      </c>
      <c r="F60" s="11" t="s">
        <v>23</v>
      </c>
      <c r="G60" s="19">
        <v>22.901369863013699</v>
      </c>
      <c r="H60" s="11">
        <v>2</v>
      </c>
      <c r="I60" s="11">
        <v>20</v>
      </c>
      <c r="J60" s="5">
        <f t="shared" si="1"/>
        <v>6</v>
      </c>
      <c r="K60" s="11">
        <v>26</v>
      </c>
      <c r="L60" s="3"/>
    </row>
    <row r="61" spans="1:12" x14ac:dyDescent="0.45">
      <c r="A61" s="11" t="s">
        <v>37</v>
      </c>
      <c r="B61" s="11">
        <v>2020</v>
      </c>
      <c r="C61" s="13">
        <v>43889</v>
      </c>
      <c r="D61" s="11" t="s">
        <v>14</v>
      </c>
      <c r="E61" s="11" t="s">
        <v>90</v>
      </c>
      <c r="F61" s="11" t="s">
        <v>15</v>
      </c>
      <c r="G61" s="19">
        <v>23.780821917808218</v>
      </c>
      <c r="H61" s="11">
        <v>3</v>
      </c>
      <c r="I61" s="11">
        <v>20</v>
      </c>
      <c r="J61" s="5">
        <f t="shared" si="1"/>
        <v>2</v>
      </c>
      <c r="K61" s="11">
        <v>22</v>
      </c>
      <c r="L61" s="3"/>
    </row>
    <row r="62" spans="1:12" x14ac:dyDescent="0.45">
      <c r="A62" s="14" t="s">
        <v>20</v>
      </c>
      <c r="B62" s="7">
        <v>2020</v>
      </c>
      <c r="C62" s="8">
        <v>43856</v>
      </c>
      <c r="D62" s="7" t="s">
        <v>10</v>
      </c>
      <c r="E62" s="7" t="s">
        <v>102</v>
      </c>
      <c r="F62" s="7" t="s">
        <v>51</v>
      </c>
      <c r="G62" s="19">
        <v>24.402739726027399</v>
      </c>
      <c r="H62" s="7">
        <v>1</v>
      </c>
      <c r="I62" s="7">
        <v>20</v>
      </c>
      <c r="J62" s="5">
        <f t="shared" si="1"/>
        <v>5</v>
      </c>
      <c r="K62" s="7">
        <v>25</v>
      </c>
      <c r="L62" s="30">
        <v>50.661000000000001</v>
      </c>
    </row>
    <row r="63" spans="1:12" x14ac:dyDescent="0.45">
      <c r="A63" s="14" t="s">
        <v>20</v>
      </c>
      <c r="B63" s="7">
        <v>2020</v>
      </c>
      <c r="C63" s="8">
        <v>43856</v>
      </c>
      <c r="D63" s="7" t="s">
        <v>10</v>
      </c>
      <c r="E63" s="7" t="s">
        <v>101</v>
      </c>
      <c r="F63" s="7" t="s">
        <v>47</v>
      </c>
      <c r="G63" s="19">
        <v>35.512328767123286</v>
      </c>
      <c r="H63" s="7">
        <v>2</v>
      </c>
      <c r="I63" s="7">
        <v>20</v>
      </c>
      <c r="J63" s="5">
        <f t="shared" si="1"/>
        <v>1</v>
      </c>
      <c r="K63" s="7">
        <v>21</v>
      </c>
      <c r="L63" s="30">
        <v>50.661000000000001</v>
      </c>
    </row>
    <row r="64" spans="1:12" x14ac:dyDescent="0.45">
      <c r="A64" s="14" t="s">
        <v>20</v>
      </c>
      <c r="B64" s="7">
        <v>2020</v>
      </c>
      <c r="C64" s="8">
        <v>43856</v>
      </c>
      <c r="D64" s="7" t="s">
        <v>10</v>
      </c>
      <c r="E64" s="7" t="s">
        <v>103</v>
      </c>
      <c r="F64" s="7" t="s">
        <v>104</v>
      </c>
      <c r="G64" s="19">
        <v>39.739726027397261</v>
      </c>
      <c r="H64" s="7">
        <v>3</v>
      </c>
      <c r="I64" s="7">
        <v>20</v>
      </c>
      <c r="J64" s="5">
        <f t="shared" si="1"/>
        <v>1</v>
      </c>
      <c r="K64" s="7">
        <v>21</v>
      </c>
      <c r="L64" s="30">
        <v>50.661000000000001</v>
      </c>
    </row>
    <row r="65" spans="1:12" x14ac:dyDescent="0.45">
      <c r="A65" s="11" t="s">
        <v>38</v>
      </c>
      <c r="B65" s="15">
        <v>2019</v>
      </c>
      <c r="C65" s="10">
        <v>43814</v>
      </c>
      <c r="D65" s="15" t="s">
        <v>10</v>
      </c>
      <c r="E65" s="1" t="s">
        <v>64</v>
      </c>
      <c r="F65" s="1" t="s">
        <v>49</v>
      </c>
      <c r="G65" s="19">
        <v>24.991780821917807</v>
      </c>
      <c r="H65" s="15">
        <v>1</v>
      </c>
      <c r="I65" s="1">
        <v>20</v>
      </c>
      <c r="J65" s="5">
        <f t="shared" si="1"/>
        <v>7</v>
      </c>
      <c r="K65" s="1">
        <v>27</v>
      </c>
      <c r="L65" s="1">
        <v>49.158000000000001</v>
      </c>
    </row>
    <row r="66" spans="1:12" x14ac:dyDescent="0.45">
      <c r="A66" s="11" t="s">
        <v>38</v>
      </c>
      <c r="B66" s="15">
        <v>2019</v>
      </c>
      <c r="C66" s="10">
        <v>43814</v>
      </c>
      <c r="D66" s="15" t="s">
        <v>10</v>
      </c>
      <c r="E66" s="1" t="s">
        <v>105</v>
      </c>
      <c r="F66" s="1" t="s">
        <v>50</v>
      </c>
      <c r="G66" s="19">
        <v>26.556164383561644</v>
      </c>
      <c r="H66" s="15">
        <v>2</v>
      </c>
      <c r="I66" s="1">
        <v>20</v>
      </c>
      <c r="J66" s="5">
        <f t="shared" si="1"/>
        <v>3</v>
      </c>
      <c r="K66" s="1">
        <v>23</v>
      </c>
      <c r="L66" s="1">
        <v>49.158000000000001</v>
      </c>
    </row>
    <row r="67" spans="1:12" x14ac:dyDescent="0.45">
      <c r="A67" s="11" t="s">
        <v>38</v>
      </c>
      <c r="B67" s="15">
        <v>2019</v>
      </c>
      <c r="C67" s="10">
        <v>43814</v>
      </c>
      <c r="D67" s="15" t="s">
        <v>10</v>
      </c>
      <c r="E67" s="1" t="s">
        <v>74</v>
      </c>
      <c r="F67" s="1" t="s">
        <v>39</v>
      </c>
      <c r="G67" s="19">
        <v>28.027397260273972</v>
      </c>
      <c r="H67" s="15">
        <v>3</v>
      </c>
      <c r="I67" s="1">
        <v>20</v>
      </c>
      <c r="J67" s="5">
        <f t="shared" si="1"/>
        <v>2</v>
      </c>
      <c r="K67" s="1">
        <v>22</v>
      </c>
      <c r="L67" s="1">
        <v>49.158000000000001</v>
      </c>
    </row>
    <row r="68" spans="1:12" x14ac:dyDescent="0.45">
      <c r="A68" s="7" t="s">
        <v>40</v>
      </c>
      <c r="B68" s="14">
        <v>2019</v>
      </c>
      <c r="C68" s="16">
        <v>43807</v>
      </c>
      <c r="D68" s="14" t="s">
        <v>10</v>
      </c>
      <c r="E68" s="4" t="s">
        <v>105</v>
      </c>
      <c r="F68" s="4" t="s">
        <v>50</v>
      </c>
      <c r="G68" s="19">
        <v>26.536986301369861</v>
      </c>
      <c r="H68" s="14">
        <v>1</v>
      </c>
      <c r="I68" s="4">
        <v>0</v>
      </c>
      <c r="J68" s="5">
        <f t="shared" si="1"/>
        <v>8</v>
      </c>
      <c r="K68" s="4">
        <v>8</v>
      </c>
      <c r="L68">
        <v>50.924999999999997</v>
      </c>
    </row>
    <row r="69" spans="1:12" x14ac:dyDescent="0.45">
      <c r="A69" s="7" t="s">
        <v>40</v>
      </c>
      <c r="B69" s="14">
        <v>2019</v>
      </c>
      <c r="C69" s="16">
        <v>43807</v>
      </c>
      <c r="D69" s="14" t="s">
        <v>10</v>
      </c>
      <c r="E69" s="4" t="s">
        <v>66</v>
      </c>
      <c r="F69" s="4" t="s">
        <v>23</v>
      </c>
      <c r="G69" s="19">
        <v>22.676712328767124</v>
      </c>
      <c r="H69" s="14">
        <v>2</v>
      </c>
      <c r="I69" s="4">
        <v>0</v>
      </c>
      <c r="J69" s="5">
        <f t="shared" si="1"/>
        <v>5</v>
      </c>
      <c r="K69" s="4">
        <v>5</v>
      </c>
      <c r="L69">
        <v>50.924999999999997</v>
      </c>
    </row>
    <row r="70" spans="1:12" x14ac:dyDescent="0.45">
      <c r="A70" s="7" t="s">
        <v>40</v>
      </c>
      <c r="B70" s="14">
        <v>2019</v>
      </c>
      <c r="C70" s="16">
        <v>43807</v>
      </c>
      <c r="D70" s="14" t="s">
        <v>10</v>
      </c>
      <c r="E70" s="4" t="s">
        <v>64</v>
      </c>
      <c r="F70" s="4" t="s">
        <v>49</v>
      </c>
      <c r="G70" s="19">
        <v>24.972602739726028</v>
      </c>
      <c r="H70" s="14">
        <v>3</v>
      </c>
      <c r="I70" s="4">
        <v>0</v>
      </c>
      <c r="J70" s="5">
        <f t="shared" ref="J70:J97" si="2">K70-I70</f>
        <v>5</v>
      </c>
      <c r="K70" s="4">
        <v>5</v>
      </c>
      <c r="L70">
        <v>50.924999999999997</v>
      </c>
    </row>
    <row r="71" spans="1:12" x14ac:dyDescent="0.45">
      <c r="A71" s="15" t="s">
        <v>21</v>
      </c>
      <c r="B71" s="11">
        <v>2019</v>
      </c>
      <c r="C71" s="13">
        <v>43800</v>
      </c>
      <c r="D71" s="11" t="s">
        <v>10</v>
      </c>
      <c r="E71" s="1" t="s">
        <v>106</v>
      </c>
      <c r="F71" s="1" t="s">
        <v>15</v>
      </c>
      <c r="G71" s="19">
        <v>27.402739726027399</v>
      </c>
      <c r="H71" s="15">
        <v>1</v>
      </c>
      <c r="I71" s="1">
        <v>0</v>
      </c>
      <c r="J71" s="5">
        <f t="shared" si="2"/>
        <v>8</v>
      </c>
      <c r="K71" s="1">
        <v>8</v>
      </c>
      <c r="L71">
        <v>50.286999999999999</v>
      </c>
    </row>
    <row r="72" spans="1:12" x14ac:dyDescent="0.45">
      <c r="A72" s="15" t="s">
        <v>21</v>
      </c>
      <c r="B72" s="11">
        <v>2019</v>
      </c>
      <c r="C72" s="13">
        <v>43800</v>
      </c>
      <c r="D72" s="11" t="s">
        <v>10</v>
      </c>
      <c r="E72" s="1" t="s">
        <v>94</v>
      </c>
      <c r="F72" s="1" t="s">
        <v>18</v>
      </c>
      <c r="G72" s="19">
        <v>20.410958904109588</v>
      </c>
      <c r="H72" s="15">
        <v>2</v>
      </c>
      <c r="I72" s="1">
        <v>0</v>
      </c>
      <c r="J72" s="5">
        <f t="shared" si="2"/>
        <v>2</v>
      </c>
      <c r="K72" s="1">
        <v>2</v>
      </c>
      <c r="L72">
        <v>50.286999999999999</v>
      </c>
    </row>
    <row r="73" spans="1:12" x14ac:dyDescent="0.45">
      <c r="A73" s="15" t="s">
        <v>21</v>
      </c>
      <c r="B73" s="11">
        <v>2019</v>
      </c>
      <c r="C73" s="13">
        <v>43800</v>
      </c>
      <c r="D73" s="11" t="s">
        <v>10</v>
      </c>
      <c r="E73" s="1" t="s">
        <v>66</v>
      </c>
      <c r="F73" s="1" t="s">
        <v>23</v>
      </c>
      <c r="G73" s="19">
        <v>22.657534246575342</v>
      </c>
      <c r="H73" s="15">
        <v>3</v>
      </c>
      <c r="I73" s="1">
        <v>0</v>
      </c>
      <c r="J73" s="5">
        <f t="shared" si="2"/>
        <v>2</v>
      </c>
      <c r="K73" s="1">
        <v>2</v>
      </c>
      <c r="L73">
        <v>50.286999999999999</v>
      </c>
    </row>
    <row r="74" spans="1:12" x14ac:dyDescent="0.45">
      <c r="A74" s="14" t="s">
        <v>26</v>
      </c>
      <c r="B74" s="14">
        <v>2019</v>
      </c>
      <c r="C74" s="16">
        <v>43778</v>
      </c>
      <c r="D74" s="14" t="s">
        <v>10</v>
      </c>
      <c r="E74" s="4" t="s">
        <v>107</v>
      </c>
      <c r="F74" s="4" t="s">
        <v>25</v>
      </c>
      <c r="G74" s="19">
        <v>29.293150684931508</v>
      </c>
      <c r="H74" s="14">
        <v>1</v>
      </c>
      <c r="I74" s="4">
        <v>0</v>
      </c>
      <c r="J74" s="5">
        <f t="shared" si="2"/>
        <v>7</v>
      </c>
      <c r="K74" s="4">
        <v>7</v>
      </c>
      <c r="L74">
        <v>50.951000000000001</v>
      </c>
    </row>
    <row r="75" spans="1:12" x14ac:dyDescent="0.45">
      <c r="A75" s="14" t="s">
        <v>26</v>
      </c>
      <c r="B75" s="14">
        <v>2019</v>
      </c>
      <c r="C75" s="16">
        <v>43778</v>
      </c>
      <c r="D75" s="14" t="s">
        <v>10</v>
      </c>
      <c r="E75" s="4" t="s">
        <v>66</v>
      </c>
      <c r="F75" s="4" t="s">
        <v>23</v>
      </c>
      <c r="G75" s="19">
        <v>22.597260273972601</v>
      </c>
      <c r="H75" s="14">
        <v>2</v>
      </c>
      <c r="I75" s="4">
        <v>0</v>
      </c>
      <c r="J75" s="5">
        <f t="shared" si="2"/>
        <v>5</v>
      </c>
      <c r="K75" s="4">
        <v>5</v>
      </c>
      <c r="L75">
        <v>50.951000000000001</v>
      </c>
    </row>
    <row r="76" spans="1:12" x14ac:dyDescent="0.45">
      <c r="A76" s="14" t="s">
        <v>26</v>
      </c>
      <c r="B76" s="14">
        <v>2019</v>
      </c>
      <c r="C76" s="16">
        <v>43778</v>
      </c>
      <c r="D76" s="14" t="s">
        <v>10</v>
      </c>
      <c r="E76" s="4" t="s">
        <v>74</v>
      </c>
      <c r="F76" s="4" t="s">
        <v>39</v>
      </c>
      <c r="G76" s="19">
        <v>27.92876712328767</v>
      </c>
      <c r="H76" s="14">
        <v>3</v>
      </c>
      <c r="I76" s="4">
        <v>0</v>
      </c>
      <c r="J76" s="5">
        <f t="shared" si="2"/>
        <v>4</v>
      </c>
      <c r="K76" s="4">
        <v>4</v>
      </c>
      <c r="L76">
        <v>50.951000000000001</v>
      </c>
    </row>
    <row r="77" spans="1:12" x14ac:dyDescent="0.45">
      <c r="A77" s="15" t="s">
        <v>41</v>
      </c>
      <c r="B77" s="1">
        <v>2019</v>
      </c>
      <c r="C77" s="10">
        <v>43772</v>
      </c>
      <c r="D77" s="1" t="s">
        <v>10</v>
      </c>
      <c r="E77" s="1" t="s">
        <v>64</v>
      </c>
      <c r="F77" s="1" t="s">
        <v>49</v>
      </c>
      <c r="G77" s="19">
        <v>24.876712328767123</v>
      </c>
      <c r="H77" s="15">
        <v>1</v>
      </c>
      <c r="I77" s="1">
        <v>20</v>
      </c>
      <c r="J77" s="5">
        <f t="shared" si="2"/>
        <v>3</v>
      </c>
      <c r="K77" s="1">
        <v>23</v>
      </c>
      <c r="L77">
        <v>50.746000000000002</v>
      </c>
    </row>
    <row r="78" spans="1:12" x14ac:dyDescent="0.45">
      <c r="A78" s="15" t="s">
        <v>41</v>
      </c>
      <c r="B78" s="1">
        <v>2019</v>
      </c>
      <c r="C78" s="10">
        <v>43772</v>
      </c>
      <c r="D78" s="1" t="s">
        <v>10</v>
      </c>
      <c r="E78" s="1" t="s">
        <v>77</v>
      </c>
      <c r="F78" s="1" t="s">
        <v>19</v>
      </c>
      <c r="G78" s="19">
        <v>20.298630136986301</v>
      </c>
      <c r="H78" s="15">
        <v>2</v>
      </c>
      <c r="I78" s="1">
        <v>20</v>
      </c>
      <c r="J78" s="5">
        <f t="shared" si="2"/>
        <v>3</v>
      </c>
      <c r="K78" s="1">
        <v>23</v>
      </c>
      <c r="L78">
        <v>50.746000000000002</v>
      </c>
    </row>
    <row r="79" spans="1:12" x14ac:dyDescent="0.45">
      <c r="A79" s="15" t="s">
        <v>41</v>
      </c>
      <c r="B79" s="1">
        <v>2019</v>
      </c>
      <c r="C79" s="10">
        <v>43772</v>
      </c>
      <c r="D79" s="1" t="s">
        <v>10</v>
      </c>
      <c r="E79" s="1" t="s">
        <v>90</v>
      </c>
      <c r="F79" s="1" t="s">
        <v>15</v>
      </c>
      <c r="G79" s="19">
        <v>23.460273972602739</v>
      </c>
      <c r="H79" s="15">
        <v>3</v>
      </c>
      <c r="I79" s="1">
        <v>20</v>
      </c>
      <c r="J79" s="5">
        <f t="shared" si="2"/>
        <v>2</v>
      </c>
      <c r="K79" s="1">
        <v>22</v>
      </c>
      <c r="L79">
        <v>50.746000000000002</v>
      </c>
    </row>
    <row r="80" spans="1:12" x14ac:dyDescent="0.45">
      <c r="A80" s="4" t="s">
        <v>42</v>
      </c>
      <c r="B80" s="4">
        <v>2019</v>
      </c>
      <c r="C80" s="16">
        <v>43525</v>
      </c>
      <c r="D80" s="4" t="s">
        <v>14</v>
      </c>
      <c r="E80" s="4" t="s">
        <v>66</v>
      </c>
      <c r="F80" s="4" t="s">
        <v>23</v>
      </c>
      <c r="G80" s="19">
        <v>21.904109589041095</v>
      </c>
      <c r="H80" s="14">
        <v>1</v>
      </c>
      <c r="I80" s="4">
        <v>20</v>
      </c>
      <c r="J80" s="5">
        <f t="shared" si="2"/>
        <v>4</v>
      </c>
      <c r="K80" s="4">
        <v>24</v>
      </c>
      <c r="L80" s="4">
        <v>53.286000000000001</v>
      </c>
    </row>
    <row r="81" spans="1:12" x14ac:dyDescent="0.45">
      <c r="A81" s="4" t="s">
        <v>42</v>
      </c>
      <c r="B81" s="4">
        <v>2019</v>
      </c>
      <c r="C81" s="16">
        <v>43525</v>
      </c>
      <c r="D81" s="4" t="s">
        <v>14</v>
      </c>
      <c r="E81" s="4" t="s">
        <v>108</v>
      </c>
      <c r="F81" s="4" t="s">
        <v>22</v>
      </c>
      <c r="G81" s="19">
        <v>31.13150684931507</v>
      </c>
      <c r="H81" s="14">
        <v>2</v>
      </c>
      <c r="I81" s="4">
        <v>20</v>
      </c>
      <c r="J81" s="5">
        <f t="shared" si="2"/>
        <v>1</v>
      </c>
      <c r="K81" s="4">
        <v>21</v>
      </c>
      <c r="L81" s="4">
        <v>53.286000000000001</v>
      </c>
    </row>
    <row r="82" spans="1:12" x14ac:dyDescent="0.45">
      <c r="A82" s="4" t="s">
        <v>42</v>
      </c>
      <c r="B82" s="4">
        <v>2019</v>
      </c>
      <c r="C82" s="16">
        <v>43525</v>
      </c>
      <c r="D82" s="4" t="s">
        <v>14</v>
      </c>
      <c r="E82" s="4" t="s">
        <v>109</v>
      </c>
      <c r="F82" s="4" t="s">
        <v>47</v>
      </c>
      <c r="G82" s="19">
        <v>24.586301369863012</v>
      </c>
      <c r="H82" s="14">
        <v>3</v>
      </c>
      <c r="I82" s="4">
        <v>20</v>
      </c>
      <c r="J82" s="5">
        <f t="shared" si="2"/>
        <v>1</v>
      </c>
      <c r="K82" s="4">
        <v>21</v>
      </c>
      <c r="L82" s="4">
        <v>53.286000000000001</v>
      </c>
    </row>
    <row r="83" spans="1:12" x14ac:dyDescent="0.45">
      <c r="A83" s="1" t="s">
        <v>21</v>
      </c>
      <c r="B83" s="1">
        <v>2019</v>
      </c>
      <c r="C83" s="10">
        <v>43492</v>
      </c>
      <c r="D83" s="1" t="s">
        <v>10</v>
      </c>
      <c r="E83" s="1" t="s">
        <v>110</v>
      </c>
      <c r="F83" s="1" t="s">
        <v>27</v>
      </c>
      <c r="G83" s="19">
        <v>27.44109589041096</v>
      </c>
      <c r="H83" s="15">
        <v>1</v>
      </c>
      <c r="I83" s="1">
        <v>0</v>
      </c>
      <c r="J83" s="5">
        <f t="shared" si="2"/>
        <v>11</v>
      </c>
      <c r="K83" s="1">
        <v>11</v>
      </c>
      <c r="L83">
        <v>48.024000000000001</v>
      </c>
    </row>
    <row r="84" spans="1:12" x14ac:dyDescent="0.45">
      <c r="A84" s="1" t="s">
        <v>21</v>
      </c>
      <c r="B84" s="1">
        <v>2019</v>
      </c>
      <c r="C84" s="10">
        <v>43492</v>
      </c>
      <c r="D84" s="1" t="s">
        <v>10</v>
      </c>
      <c r="E84" s="1" t="s">
        <v>97</v>
      </c>
      <c r="F84" s="1" t="s">
        <v>39</v>
      </c>
      <c r="G84" s="19">
        <v>22.92876712328767</v>
      </c>
      <c r="H84" s="15">
        <v>2</v>
      </c>
      <c r="I84" s="1">
        <v>0</v>
      </c>
      <c r="J84" s="5">
        <f t="shared" si="2"/>
        <v>5</v>
      </c>
      <c r="K84" s="1">
        <v>5</v>
      </c>
      <c r="L84">
        <v>48.024000000000001</v>
      </c>
    </row>
    <row r="85" spans="1:12" x14ac:dyDescent="0.45">
      <c r="A85" s="1" t="s">
        <v>21</v>
      </c>
      <c r="B85" s="1">
        <v>2019</v>
      </c>
      <c r="C85" s="10">
        <v>43492</v>
      </c>
      <c r="D85" s="1" t="s">
        <v>10</v>
      </c>
      <c r="E85" s="1" t="s">
        <v>78</v>
      </c>
      <c r="F85" s="1" t="s">
        <v>11</v>
      </c>
      <c r="G85" s="19">
        <v>36.30958904109589</v>
      </c>
      <c r="H85" s="15">
        <v>3</v>
      </c>
      <c r="I85" s="1">
        <v>0</v>
      </c>
      <c r="J85" s="5">
        <f t="shared" si="2"/>
        <v>5</v>
      </c>
      <c r="K85" s="1">
        <v>5</v>
      </c>
      <c r="L85">
        <v>48.024000000000001</v>
      </c>
    </row>
    <row r="86" spans="1:12" x14ac:dyDescent="0.45">
      <c r="A86" s="7" t="s">
        <v>40</v>
      </c>
      <c r="B86" s="7">
        <v>2019</v>
      </c>
      <c r="C86" s="8">
        <v>43484</v>
      </c>
      <c r="D86" s="7" t="s">
        <v>10</v>
      </c>
      <c r="E86" s="4" t="s">
        <v>108</v>
      </c>
      <c r="F86" s="4" t="s">
        <v>22</v>
      </c>
      <c r="G86" s="19">
        <v>31.019178082191782</v>
      </c>
      <c r="H86" s="14">
        <v>1</v>
      </c>
      <c r="I86" s="4">
        <v>20</v>
      </c>
      <c r="J86" s="5">
        <f t="shared" si="2"/>
        <v>6</v>
      </c>
      <c r="K86" s="4">
        <v>26</v>
      </c>
      <c r="L86">
        <v>50.715000000000003</v>
      </c>
    </row>
    <row r="87" spans="1:12" x14ac:dyDescent="0.45">
      <c r="A87" s="7" t="s">
        <v>40</v>
      </c>
      <c r="B87" s="7">
        <v>2019</v>
      </c>
      <c r="C87" s="8">
        <v>43484</v>
      </c>
      <c r="D87" s="7" t="s">
        <v>10</v>
      </c>
      <c r="E87" s="4" t="s">
        <v>105</v>
      </c>
      <c r="F87" s="4" t="s">
        <v>50</v>
      </c>
      <c r="G87" s="19">
        <v>25.652054794520549</v>
      </c>
      <c r="H87" s="14">
        <v>2</v>
      </c>
      <c r="I87" s="4">
        <v>0</v>
      </c>
      <c r="J87" s="5">
        <f t="shared" si="2"/>
        <v>9</v>
      </c>
      <c r="K87" s="4">
        <v>9</v>
      </c>
      <c r="L87">
        <v>50.715000000000003</v>
      </c>
    </row>
    <row r="88" spans="1:12" x14ac:dyDescent="0.45">
      <c r="A88" s="7" t="s">
        <v>40</v>
      </c>
      <c r="B88" s="7">
        <v>2019</v>
      </c>
      <c r="C88" s="8">
        <v>43484</v>
      </c>
      <c r="D88" s="7" t="s">
        <v>10</v>
      </c>
      <c r="E88" s="4" t="s">
        <v>111</v>
      </c>
      <c r="F88" s="4" t="s">
        <v>36</v>
      </c>
      <c r="G88" s="19">
        <v>26.24931506849315</v>
      </c>
      <c r="H88" s="14">
        <v>3</v>
      </c>
      <c r="I88" s="4">
        <v>0</v>
      </c>
      <c r="J88" s="5">
        <f t="shared" si="2"/>
        <v>4</v>
      </c>
      <c r="K88" s="4">
        <v>4</v>
      </c>
      <c r="L88">
        <v>50.715000000000003</v>
      </c>
    </row>
    <row r="89" spans="1:12" x14ac:dyDescent="0.45">
      <c r="A89" s="11" t="s">
        <v>48</v>
      </c>
      <c r="B89" s="11">
        <v>2018</v>
      </c>
      <c r="C89" s="13">
        <v>43449</v>
      </c>
      <c r="D89" s="11" t="s">
        <v>10</v>
      </c>
      <c r="E89" s="1" t="s">
        <v>112</v>
      </c>
      <c r="F89" s="1" t="s">
        <v>31</v>
      </c>
      <c r="G89" s="19">
        <v>22.032876712328768</v>
      </c>
      <c r="H89" s="15">
        <v>1</v>
      </c>
      <c r="I89" s="1">
        <v>20</v>
      </c>
      <c r="J89" s="5">
        <f t="shared" si="2"/>
        <v>10</v>
      </c>
      <c r="K89" s="1">
        <v>30</v>
      </c>
      <c r="L89">
        <v>51.765999999999998</v>
      </c>
    </row>
    <row r="90" spans="1:12" x14ac:dyDescent="0.45">
      <c r="A90" s="1" t="s">
        <v>48</v>
      </c>
      <c r="B90" s="11">
        <v>2018</v>
      </c>
      <c r="C90" s="13">
        <v>43449</v>
      </c>
      <c r="D90" s="11" t="s">
        <v>10</v>
      </c>
      <c r="E90" s="1" t="s">
        <v>64</v>
      </c>
      <c r="F90" s="1" t="s">
        <v>49</v>
      </c>
      <c r="G90" s="19">
        <v>23.991780821917807</v>
      </c>
      <c r="H90" s="15">
        <v>2</v>
      </c>
      <c r="I90" s="1">
        <v>0</v>
      </c>
      <c r="J90" s="5">
        <f t="shared" si="2"/>
        <v>3</v>
      </c>
      <c r="K90" s="1">
        <v>3</v>
      </c>
      <c r="L90">
        <v>51.765999999999998</v>
      </c>
    </row>
    <row r="91" spans="1:12" x14ac:dyDescent="0.45">
      <c r="A91" s="1" t="s">
        <v>48</v>
      </c>
      <c r="B91" s="11">
        <v>2018</v>
      </c>
      <c r="C91" s="13">
        <v>43449</v>
      </c>
      <c r="D91" s="11" t="s">
        <v>10</v>
      </c>
      <c r="E91" s="1" t="s">
        <v>78</v>
      </c>
      <c r="F91" s="1" t="s">
        <v>11</v>
      </c>
      <c r="G91" s="19">
        <v>36.19178082191781</v>
      </c>
      <c r="H91" s="15">
        <v>3</v>
      </c>
      <c r="I91" s="1">
        <v>0</v>
      </c>
      <c r="J91" s="5">
        <f t="shared" si="2"/>
        <v>3</v>
      </c>
      <c r="K91" s="1">
        <v>3</v>
      </c>
      <c r="L91">
        <v>51.765999999999998</v>
      </c>
    </row>
    <row r="92" spans="1:12" x14ac:dyDescent="0.45">
      <c r="A92" s="4" t="s">
        <v>37</v>
      </c>
      <c r="B92" s="7">
        <v>2018</v>
      </c>
      <c r="C92" s="8">
        <v>43435</v>
      </c>
      <c r="D92" s="7" t="s">
        <v>10</v>
      </c>
      <c r="E92" s="4" t="s">
        <v>65</v>
      </c>
      <c r="F92" s="4" t="s">
        <v>25</v>
      </c>
      <c r="G92" s="19">
        <v>24.739726027397261</v>
      </c>
      <c r="H92" s="14">
        <v>1</v>
      </c>
      <c r="I92" s="4">
        <v>0</v>
      </c>
      <c r="J92" s="5">
        <f t="shared" si="2"/>
        <v>4</v>
      </c>
      <c r="K92" s="4">
        <v>4</v>
      </c>
      <c r="L92">
        <v>51.98</v>
      </c>
    </row>
    <row r="93" spans="1:12" x14ac:dyDescent="0.45">
      <c r="A93" s="4" t="s">
        <v>37</v>
      </c>
      <c r="B93" s="7">
        <v>2018</v>
      </c>
      <c r="C93" s="8">
        <v>43435</v>
      </c>
      <c r="D93" s="7" t="s">
        <v>10</v>
      </c>
      <c r="E93" s="4" t="s">
        <v>106</v>
      </c>
      <c r="F93" s="4" t="s">
        <v>15</v>
      </c>
      <c r="G93" s="19">
        <v>26.402739726027399</v>
      </c>
      <c r="H93" s="14">
        <v>2</v>
      </c>
      <c r="I93" s="4">
        <v>0</v>
      </c>
      <c r="J93" s="5">
        <f t="shared" si="2"/>
        <v>3</v>
      </c>
      <c r="K93" s="4">
        <v>3</v>
      </c>
      <c r="L93">
        <v>51.98</v>
      </c>
    </row>
    <row r="94" spans="1:12" x14ac:dyDescent="0.45">
      <c r="A94" s="4" t="s">
        <v>37</v>
      </c>
      <c r="B94" s="7">
        <v>2018</v>
      </c>
      <c r="C94" s="8">
        <v>43435</v>
      </c>
      <c r="D94" s="7" t="s">
        <v>10</v>
      </c>
      <c r="E94" s="4" t="s">
        <v>77</v>
      </c>
      <c r="F94" s="4" t="s">
        <v>19</v>
      </c>
      <c r="G94" s="19">
        <v>19.375342465753423</v>
      </c>
      <c r="H94" s="14">
        <v>3</v>
      </c>
      <c r="I94" s="4">
        <v>0</v>
      </c>
      <c r="J94" s="5">
        <f t="shared" si="2"/>
        <v>3</v>
      </c>
      <c r="K94" s="4">
        <v>3</v>
      </c>
      <c r="L94">
        <v>51.98</v>
      </c>
    </row>
    <row r="95" spans="1:12" x14ac:dyDescent="0.45">
      <c r="A95" s="1" t="s">
        <v>20</v>
      </c>
      <c r="B95" s="11">
        <v>2018</v>
      </c>
      <c r="C95" s="13">
        <v>43401</v>
      </c>
      <c r="D95" s="11" t="s">
        <v>10</v>
      </c>
      <c r="E95" s="1" t="s">
        <v>113</v>
      </c>
      <c r="F95" s="1" t="s">
        <v>51</v>
      </c>
      <c r="G95" s="19">
        <v>31.298630136986301</v>
      </c>
      <c r="H95" s="15">
        <v>1</v>
      </c>
      <c r="I95" s="1">
        <v>20</v>
      </c>
      <c r="J95" s="5">
        <f t="shared" si="2"/>
        <v>2</v>
      </c>
      <c r="K95" s="1">
        <v>22</v>
      </c>
      <c r="L95">
        <v>51.512</v>
      </c>
    </row>
    <row r="96" spans="1:12" x14ac:dyDescent="0.45">
      <c r="A96" s="1" t="s">
        <v>20</v>
      </c>
      <c r="B96" s="11">
        <v>2018</v>
      </c>
      <c r="C96" s="13">
        <v>43401</v>
      </c>
      <c r="D96" s="11" t="s">
        <v>10</v>
      </c>
      <c r="E96" s="1" t="s">
        <v>112</v>
      </c>
      <c r="F96" s="1" t="s">
        <v>31</v>
      </c>
      <c r="G96" s="19">
        <v>21.901369863013699</v>
      </c>
      <c r="H96" s="15">
        <v>2</v>
      </c>
      <c r="I96" s="1">
        <v>0</v>
      </c>
      <c r="J96" s="5">
        <f t="shared" si="2"/>
        <v>9</v>
      </c>
      <c r="K96" s="1">
        <v>9</v>
      </c>
      <c r="L96">
        <v>51.512</v>
      </c>
    </row>
    <row r="97" spans="1:12" x14ac:dyDescent="0.45">
      <c r="A97" s="1" t="s">
        <v>20</v>
      </c>
      <c r="B97" s="11">
        <v>2018</v>
      </c>
      <c r="C97" s="13">
        <v>43401</v>
      </c>
      <c r="D97" s="11" t="s">
        <v>10</v>
      </c>
      <c r="E97" s="1" t="s">
        <v>73</v>
      </c>
      <c r="F97" s="1" t="s">
        <v>25</v>
      </c>
      <c r="G97" s="19">
        <v>26.528767123287672</v>
      </c>
      <c r="H97" s="15">
        <v>3</v>
      </c>
      <c r="I97" s="1">
        <v>0</v>
      </c>
      <c r="J97" s="5">
        <f t="shared" si="2"/>
        <v>3</v>
      </c>
      <c r="K97" s="1">
        <v>3</v>
      </c>
      <c r="L97">
        <v>51.512</v>
      </c>
    </row>
  </sheetData>
  <conditionalFormatting sqref="A44:A52">
    <cfRule type="expression" dxfId="367" priority="171">
      <formula>$E44="F"</formula>
    </cfRule>
    <cfRule type="expression" dxfId="366" priority="172">
      <formula>$E44="Q"</formula>
    </cfRule>
  </conditionalFormatting>
  <conditionalFormatting sqref="A53:A55">
    <cfRule type="expression" dxfId="365" priority="165">
      <formula>#REF!="F"</formula>
    </cfRule>
    <cfRule type="expression" dxfId="364" priority="166">
      <formula>#REF!="Q"</formula>
    </cfRule>
  </conditionalFormatting>
  <conditionalFormatting sqref="A94">
    <cfRule type="expression" dxfId="363" priority="158">
      <formula>$E94="F"</formula>
    </cfRule>
    <cfRule type="expression" dxfId="362" priority="159">
      <formula>$E94="Q"</formula>
    </cfRule>
  </conditionalFormatting>
  <conditionalFormatting sqref="A41:A43">
    <cfRule type="expression" dxfId="361" priority="179">
      <formula>$E41="F"</formula>
    </cfRule>
    <cfRule type="expression" dxfId="360" priority="180">
      <formula>$E41="Q"</formula>
    </cfRule>
  </conditionalFormatting>
  <conditionalFormatting sqref="A62:A64">
    <cfRule type="expression" dxfId="359" priority="162">
      <formula>$E62="R1"</formula>
    </cfRule>
    <cfRule type="expression" dxfId="358" priority="163">
      <formula>$E62="F"</formula>
    </cfRule>
    <cfRule type="expression" dxfId="357" priority="164">
      <formula>$E62="Q"</formula>
    </cfRule>
  </conditionalFormatting>
  <conditionalFormatting sqref="A90:A93">
    <cfRule type="expression" dxfId="356" priority="161">
      <formula>$E90="Q"</formula>
    </cfRule>
  </conditionalFormatting>
  <conditionalFormatting sqref="A90:A93">
    <cfRule type="expression" dxfId="353" priority="160">
      <formula>$E90="F"</formula>
    </cfRule>
  </conditionalFormatting>
  <conditionalFormatting sqref="D11:D13">
    <cfRule type="expression" dxfId="270" priority="74">
      <formula>$E11="F"</formula>
    </cfRule>
    <cfRule type="expression" dxfId="269" priority="75">
      <formula>$E11="SF"</formula>
    </cfRule>
    <cfRule type="expression" dxfId="268" priority="76">
      <formula>$E11="QF"</formula>
    </cfRule>
    <cfRule type="expression" dxfId="267" priority="77">
      <formula>$E11="R16"</formula>
    </cfRule>
    <cfRule type="expression" dxfId="266" priority="78">
      <formula>$E11="R8"</formula>
    </cfRule>
  </conditionalFormatting>
  <conditionalFormatting sqref="C20:C22">
    <cfRule type="expression" dxfId="265" priority="72">
      <formula>$E20="F"</formula>
    </cfRule>
    <cfRule type="expression" dxfId="264" priority="73">
      <formula>$E20="Q"</formula>
    </cfRule>
  </conditionalFormatting>
  <conditionalFormatting sqref="B20:B22">
    <cfRule type="expression" dxfId="263" priority="69">
      <formula>$E20="Q"</formula>
    </cfRule>
    <cfRule type="expression" dxfId="262" priority="70">
      <formula>$E20="G"</formula>
    </cfRule>
    <cfRule type="expression" dxfId="261" priority="71">
      <formula>$E20="B"</formula>
    </cfRule>
  </conditionalFormatting>
  <conditionalFormatting sqref="D20:D22">
    <cfRule type="expression" dxfId="260" priority="66">
      <formula>$E20="Q"</formula>
    </cfRule>
    <cfRule type="expression" dxfId="259" priority="67">
      <formula>$E20="G"</formula>
    </cfRule>
    <cfRule type="expression" dxfId="258" priority="68">
      <formula>$E20="B"</formula>
    </cfRule>
  </conditionalFormatting>
  <conditionalFormatting sqref="B23:B25 D23:D25">
    <cfRule type="expression" dxfId="257" priority="64">
      <formula>#REF!="F"</formula>
    </cfRule>
    <cfRule type="expression" dxfId="256" priority="65">
      <formula>#REF!="Q"</formula>
    </cfRule>
  </conditionalFormatting>
  <conditionalFormatting sqref="B26 D26">
    <cfRule type="expression" dxfId="255" priority="62">
      <formula>#REF!="F"</formula>
    </cfRule>
    <cfRule type="expression" dxfId="254" priority="63">
      <formula>#REF!="Q"</formula>
    </cfRule>
  </conditionalFormatting>
  <conditionalFormatting sqref="B27 D27">
    <cfRule type="expression" dxfId="253" priority="60">
      <formula>#REF!="F"</formula>
    </cfRule>
    <cfRule type="expression" dxfId="252" priority="61">
      <formula>#REF!="Q"</formula>
    </cfRule>
  </conditionalFormatting>
  <conditionalFormatting sqref="B28 D28">
    <cfRule type="expression" dxfId="251" priority="58">
      <formula>#REF!="F"</formula>
    </cfRule>
    <cfRule type="expression" dxfId="250" priority="59">
      <formula>#REF!="Q"</formula>
    </cfRule>
  </conditionalFormatting>
  <conditionalFormatting sqref="B29:B31 D29:D31">
    <cfRule type="expression" dxfId="249" priority="56">
      <formula>#REF!="F"</formula>
    </cfRule>
    <cfRule type="expression" dxfId="248" priority="57">
      <formula>#REF!="Q"</formula>
    </cfRule>
  </conditionalFormatting>
  <conditionalFormatting sqref="B32:B34 D32:D34">
    <cfRule type="expression" dxfId="247" priority="54">
      <formula>#REF!="F"</formula>
    </cfRule>
    <cfRule type="expression" dxfId="246" priority="55">
      <formula>#REF!="Q"</formula>
    </cfRule>
  </conditionalFormatting>
  <conditionalFormatting sqref="B35:B37 D35:D37">
    <cfRule type="expression" dxfId="245" priority="52">
      <formula>#REF!="F"</formula>
    </cfRule>
    <cfRule type="expression" dxfId="244" priority="53">
      <formula>#REF!="Q"</formula>
    </cfRule>
  </conditionalFormatting>
  <conditionalFormatting sqref="B42 B39 D38:D43">
    <cfRule type="expression" dxfId="243" priority="50">
      <formula>#REF!="F"</formula>
    </cfRule>
    <cfRule type="expression" dxfId="242" priority="51">
      <formula>#REF!="Q"</formula>
    </cfRule>
  </conditionalFormatting>
  <conditionalFormatting sqref="B43 B38 B40:B41">
    <cfRule type="expression" dxfId="241" priority="48">
      <formula>#REF!="F"</formula>
    </cfRule>
    <cfRule type="expression" dxfId="240" priority="49">
      <formula>#REF!="Q"</formula>
    </cfRule>
  </conditionalFormatting>
  <conditionalFormatting sqref="D44:D46">
    <cfRule type="expression" dxfId="239" priority="46">
      <formula>#REF!="F"</formula>
    </cfRule>
    <cfRule type="expression" dxfId="238" priority="47">
      <formula>#REF!="Q"</formula>
    </cfRule>
  </conditionalFormatting>
  <conditionalFormatting sqref="B45">
    <cfRule type="expression" dxfId="237" priority="44">
      <formula>#REF!="F"</formula>
    </cfRule>
    <cfRule type="expression" dxfId="236" priority="45">
      <formula>#REF!="Q"</formula>
    </cfRule>
  </conditionalFormatting>
  <conditionalFormatting sqref="B44 B46">
    <cfRule type="expression" dxfId="235" priority="42">
      <formula>#REF!="F"</formula>
    </cfRule>
    <cfRule type="expression" dxfId="234" priority="43">
      <formula>#REF!="Q"</formula>
    </cfRule>
  </conditionalFormatting>
  <conditionalFormatting sqref="D47:D49">
    <cfRule type="expression" dxfId="233" priority="40">
      <formula>#REF!="F"</formula>
    </cfRule>
    <cfRule type="expression" dxfId="232" priority="41">
      <formula>#REF!="Q"</formula>
    </cfRule>
  </conditionalFormatting>
  <conditionalFormatting sqref="B47 B49">
    <cfRule type="expression" dxfId="231" priority="38">
      <formula>#REF!="F"</formula>
    </cfRule>
    <cfRule type="expression" dxfId="230" priority="39">
      <formula>#REF!="Q"</formula>
    </cfRule>
  </conditionalFormatting>
  <conditionalFormatting sqref="B48">
    <cfRule type="expression" dxfId="229" priority="36">
      <formula>#REF!="F"</formula>
    </cfRule>
    <cfRule type="expression" dxfId="228" priority="37">
      <formula>#REF!="Q"</formula>
    </cfRule>
  </conditionalFormatting>
  <conditionalFormatting sqref="D50:D52">
    <cfRule type="expression" dxfId="227" priority="34">
      <formula>#REF!="F"</formula>
    </cfRule>
    <cfRule type="expression" dxfId="226" priority="35">
      <formula>#REF!="Q"</formula>
    </cfRule>
  </conditionalFormatting>
  <conditionalFormatting sqref="B51">
    <cfRule type="expression" dxfId="225" priority="32">
      <formula>#REF!="F"</formula>
    </cfRule>
    <cfRule type="expression" dxfId="224" priority="33">
      <formula>#REF!="Q"</formula>
    </cfRule>
  </conditionalFormatting>
  <conditionalFormatting sqref="B50 B52">
    <cfRule type="expression" dxfId="223" priority="30">
      <formula>#REF!="F"</formula>
    </cfRule>
    <cfRule type="expression" dxfId="222" priority="31">
      <formula>#REF!="Q"</formula>
    </cfRule>
  </conditionalFormatting>
  <conditionalFormatting sqref="D68:D70 B68:B70">
    <cfRule type="expression" dxfId="221" priority="28">
      <formula>#REF!="F"</formula>
    </cfRule>
    <cfRule type="expression" dxfId="220" priority="29">
      <formula>#REF!="Q"</formula>
    </cfRule>
  </conditionalFormatting>
  <conditionalFormatting sqref="B74:D76">
    <cfRule type="expression" dxfId="219" priority="25">
      <formula>$E74="Q"</formula>
    </cfRule>
    <cfRule type="expression" dxfId="218" priority="26">
      <formula>$E74="G"</formula>
    </cfRule>
    <cfRule type="expression" dxfId="217" priority="27">
      <formula>$E74="B"</formula>
    </cfRule>
  </conditionalFormatting>
  <conditionalFormatting sqref="B77:B79">
    <cfRule type="expression" dxfId="216" priority="22">
      <formula>#REF!="R1"</formula>
    </cfRule>
    <cfRule type="expression" dxfId="215" priority="23">
      <formula>#REF!="F"</formula>
    </cfRule>
    <cfRule type="expression" dxfId="214" priority="24">
      <formula>#REF!="Q"</formula>
    </cfRule>
  </conditionalFormatting>
  <conditionalFormatting sqref="D77:D79">
    <cfRule type="expression" dxfId="213" priority="19">
      <formula>#REF!="R1"</formula>
    </cfRule>
    <cfRule type="expression" dxfId="212" priority="20">
      <formula>#REF!="F"</formula>
    </cfRule>
    <cfRule type="expression" dxfId="211" priority="21">
      <formula>#REF!="Q"</formula>
    </cfRule>
  </conditionalFormatting>
  <conditionalFormatting sqref="C77:C79">
    <cfRule type="expression" dxfId="210" priority="16">
      <formula>$E77="R1"</formula>
    </cfRule>
    <cfRule type="expression" dxfId="209" priority="17">
      <formula>$E77="F"</formula>
    </cfRule>
    <cfRule type="expression" dxfId="208" priority="18">
      <formula>$E77="Q"</formula>
    </cfRule>
  </conditionalFormatting>
  <conditionalFormatting sqref="B80:B82">
    <cfRule type="expression" dxfId="207" priority="13">
      <formula>#REF!="R1"</formula>
    </cfRule>
    <cfRule type="expression" dxfId="206" priority="14">
      <formula>#REF!="F"</formula>
    </cfRule>
    <cfRule type="expression" dxfId="205" priority="15">
      <formula>#REF!="Q"</formula>
    </cfRule>
  </conditionalFormatting>
  <conditionalFormatting sqref="D80:D82">
    <cfRule type="expression" dxfId="204" priority="10">
      <formula>#REF!="R1"</formula>
    </cfRule>
    <cfRule type="expression" dxfId="203" priority="11">
      <formula>#REF!="F"</formula>
    </cfRule>
    <cfRule type="expression" dxfId="202" priority="12">
      <formula>#REF!="Q"</formula>
    </cfRule>
  </conditionalFormatting>
  <conditionalFormatting sqref="B83:B85">
    <cfRule type="expression" dxfId="201" priority="7">
      <formula>#REF!="R1"</formula>
    </cfRule>
    <cfRule type="expression" dxfId="200" priority="8">
      <formula>#REF!="F"</formula>
    </cfRule>
    <cfRule type="expression" dxfId="199" priority="9">
      <formula>#REF!="Q"</formula>
    </cfRule>
  </conditionalFormatting>
  <conditionalFormatting sqref="D83:D85">
    <cfRule type="expression" dxfId="198" priority="4">
      <formula>#REF!="R1"</formula>
    </cfRule>
    <cfRule type="expression" dxfId="197" priority="5">
      <formula>#REF!="F"</formula>
    </cfRule>
    <cfRule type="expression" dxfId="196" priority="6">
      <formula>#REF!="Q"</formula>
    </cfRule>
  </conditionalFormatting>
  <conditionalFormatting sqref="B92:D93">
    <cfRule type="expression" dxfId="195" priority="2">
      <formula>$E92="Q"</formula>
    </cfRule>
    <cfRule type="expression" dxfId="194" priority="3">
      <formula>$E92="F"</formula>
    </cfRule>
  </conditionalFormatting>
  <conditionalFormatting sqref="I17:I19">
    <cfRule type="cellIs" dxfId="193" priority="1" operator="between">
      <formula>1</formula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7C76BF-2954-4B1F-9231-6DE94A4252BF}">
  <dimension ref="A1:H33"/>
  <sheetViews>
    <sheetView workbookViewId="0">
      <selection activeCell="K7" sqref="K7"/>
    </sheetView>
  </sheetViews>
  <sheetFormatPr defaultRowHeight="14.25" x14ac:dyDescent="0.45"/>
  <sheetData>
    <row r="1" spans="1:8" x14ac:dyDescent="0.45">
      <c r="A1" s="5" t="s">
        <v>0</v>
      </c>
      <c r="B1" s="5" t="s">
        <v>1</v>
      </c>
      <c r="C1" s="5" t="s">
        <v>2</v>
      </c>
      <c r="D1" s="5" t="s">
        <v>3</v>
      </c>
      <c r="E1" t="s">
        <v>45</v>
      </c>
      <c r="F1" t="s">
        <v>4</v>
      </c>
      <c r="G1" t="s">
        <v>46</v>
      </c>
      <c r="H1" t="s">
        <v>8</v>
      </c>
    </row>
    <row r="2" spans="1:8" x14ac:dyDescent="0.45">
      <c r="A2" s="7" t="s">
        <v>59</v>
      </c>
      <c r="B2" s="7">
        <v>2025</v>
      </c>
      <c r="C2" s="6">
        <v>45952</v>
      </c>
      <c r="D2" s="7" t="s">
        <v>14</v>
      </c>
      <c r="E2" s="5" t="s">
        <v>114</v>
      </c>
      <c r="F2" s="5" t="s">
        <v>11</v>
      </c>
      <c r="G2" s="19">
        <v>26.61917808219178</v>
      </c>
      <c r="H2" s="5">
        <v>47.872</v>
      </c>
    </row>
    <row r="3" spans="1:8" x14ac:dyDescent="0.45">
      <c r="A3" s="11" t="s">
        <v>9</v>
      </c>
      <c r="B3" s="11">
        <v>2025</v>
      </c>
      <c r="C3" s="6">
        <v>45730</v>
      </c>
      <c r="D3" s="11" t="s">
        <v>10</v>
      </c>
      <c r="E3" s="5" t="s">
        <v>67</v>
      </c>
      <c r="F3" s="5" t="s">
        <v>22</v>
      </c>
      <c r="G3" s="19">
        <v>24.205479452054796</v>
      </c>
      <c r="H3" s="5">
        <v>52.822000000000003</v>
      </c>
    </row>
    <row r="4" spans="1:8" x14ac:dyDescent="0.45">
      <c r="A4" s="5" t="s">
        <v>13</v>
      </c>
      <c r="B4" s="11">
        <v>2024</v>
      </c>
      <c r="C4" s="6">
        <v>45583</v>
      </c>
      <c r="D4" s="11" t="s">
        <v>14</v>
      </c>
      <c r="E4" s="5" t="s">
        <v>67</v>
      </c>
      <c r="F4" s="5" t="s">
        <v>22</v>
      </c>
      <c r="G4" s="19">
        <v>23.802739726027397</v>
      </c>
      <c r="H4">
        <v>52.533000000000001</v>
      </c>
    </row>
    <row r="5" spans="1:8" x14ac:dyDescent="0.45">
      <c r="A5" s="11" t="s">
        <v>16</v>
      </c>
      <c r="B5" s="18">
        <v>2024</v>
      </c>
      <c r="C5" s="6">
        <v>45543</v>
      </c>
      <c r="D5" s="18" t="s">
        <v>17</v>
      </c>
      <c r="E5" s="5" t="s">
        <v>64</v>
      </c>
      <c r="F5" s="5" t="s">
        <v>49</v>
      </c>
      <c r="G5" s="5">
        <v>29.728767123287671</v>
      </c>
      <c r="H5">
        <v>48.789000000000001</v>
      </c>
    </row>
    <row r="6" spans="1:8" x14ac:dyDescent="0.45">
      <c r="A6" s="5" t="s">
        <v>20</v>
      </c>
      <c r="B6" s="11">
        <v>2024</v>
      </c>
      <c r="C6" s="6">
        <v>45396</v>
      </c>
      <c r="D6" s="11" t="s">
        <v>10</v>
      </c>
      <c r="E6" s="5" t="s">
        <v>65</v>
      </c>
      <c r="F6" s="5" t="s">
        <v>25</v>
      </c>
      <c r="G6" s="19">
        <v>30.112328767123287</v>
      </c>
      <c r="H6">
        <v>47.896000000000001</v>
      </c>
    </row>
    <row r="7" spans="1:8" x14ac:dyDescent="0.45">
      <c r="A7" s="11" t="s">
        <v>21</v>
      </c>
      <c r="B7" s="11">
        <v>2024</v>
      </c>
      <c r="C7" s="6">
        <v>45368</v>
      </c>
      <c r="D7" s="11" t="s">
        <v>10</v>
      </c>
      <c r="E7" s="5" t="s">
        <v>66</v>
      </c>
      <c r="F7" s="5" t="s">
        <v>23</v>
      </c>
      <c r="G7" s="19">
        <v>26.953424657534246</v>
      </c>
      <c r="H7">
        <v>47.719000000000001</v>
      </c>
    </row>
    <row r="8" spans="1:8" x14ac:dyDescent="0.45">
      <c r="A8" s="11" t="s">
        <v>24</v>
      </c>
      <c r="B8" s="11">
        <v>2024</v>
      </c>
      <c r="C8" s="13">
        <v>45325</v>
      </c>
      <c r="D8" s="11" t="s">
        <v>10</v>
      </c>
      <c r="E8" s="5" t="s">
        <v>67</v>
      </c>
      <c r="F8" s="5" t="s">
        <v>22</v>
      </c>
      <c r="G8" s="19">
        <v>23.095890410958905</v>
      </c>
      <c r="H8">
        <v>47.317999999999998</v>
      </c>
    </row>
    <row r="9" spans="1:8" x14ac:dyDescent="0.45">
      <c r="A9" s="12" t="s">
        <v>26</v>
      </c>
      <c r="B9" s="5">
        <v>2023</v>
      </c>
      <c r="C9" s="6">
        <v>45147</v>
      </c>
      <c r="D9" s="5" t="s">
        <v>14</v>
      </c>
      <c r="E9" s="5" t="s">
        <v>76</v>
      </c>
      <c r="F9" s="5" t="s">
        <v>12</v>
      </c>
      <c r="G9" s="19">
        <v>27.764383561643836</v>
      </c>
      <c r="H9">
        <v>58.85</v>
      </c>
    </row>
    <row r="10" spans="1:8" x14ac:dyDescent="0.45">
      <c r="A10" s="5" t="s">
        <v>20</v>
      </c>
      <c r="B10" s="7">
        <v>2023</v>
      </c>
      <c r="C10" s="8">
        <v>45039</v>
      </c>
      <c r="D10" s="7" t="s">
        <v>10</v>
      </c>
      <c r="E10" s="5" t="s">
        <v>65</v>
      </c>
      <c r="F10" s="5" t="s">
        <v>25</v>
      </c>
      <c r="G10" s="19">
        <v>29.134246575342466</v>
      </c>
      <c r="H10">
        <v>48.042999999999999</v>
      </c>
    </row>
    <row r="11" spans="1:8" x14ac:dyDescent="0.45">
      <c r="A11" s="11" t="s">
        <v>28</v>
      </c>
      <c r="B11" s="7">
        <v>2023</v>
      </c>
      <c r="C11" s="8">
        <v>45002</v>
      </c>
      <c r="D11" s="7" t="s">
        <v>10</v>
      </c>
      <c r="E11" s="7" t="s">
        <v>91</v>
      </c>
      <c r="F11" s="7" t="s">
        <v>27</v>
      </c>
      <c r="G11" s="19">
        <v>22.597260273972601</v>
      </c>
      <c r="H11">
        <v>50.573</v>
      </c>
    </row>
    <row r="12" spans="1:8" x14ac:dyDescent="0.45">
      <c r="A12" s="11" t="s">
        <v>29</v>
      </c>
      <c r="B12" s="11">
        <v>2023</v>
      </c>
      <c r="C12" s="13">
        <v>44983</v>
      </c>
      <c r="D12" s="11" t="s">
        <v>10</v>
      </c>
      <c r="E12" s="11" t="s">
        <v>67</v>
      </c>
      <c r="F12" s="11" t="s">
        <v>22</v>
      </c>
      <c r="G12" s="19">
        <v>22.158904109589042</v>
      </c>
      <c r="H12" s="31">
        <v>44.729008888888892</v>
      </c>
    </row>
    <row r="13" spans="1:8" x14ac:dyDescent="0.45">
      <c r="A13" s="7" t="s">
        <v>16</v>
      </c>
      <c r="B13" s="7">
        <v>2022</v>
      </c>
      <c r="C13" s="8">
        <v>44848</v>
      </c>
      <c r="D13" s="7" t="s">
        <v>14</v>
      </c>
      <c r="E13" s="7" t="s">
        <v>64</v>
      </c>
      <c r="F13" s="7" t="s">
        <v>49</v>
      </c>
      <c r="G13" s="19">
        <v>27.824657534246576</v>
      </c>
      <c r="H13">
        <v>48.701000000000001</v>
      </c>
    </row>
    <row r="14" spans="1:8" x14ac:dyDescent="0.45">
      <c r="A14" s="11" t="s">
        <v>30</v>
      </c>
      <c r="B14" s="11">
        <v>2022</v>
      </c>
      <c r="C14" s="13">
        <v>44751</v>
      </c>
      <c r="D14" s="11" t="s">
        <v>10</v>
      </c>
      <c r="E14" s="11" t="s">
        <v>64</v>
      </c>
      <c r="F14" s="11" t="s">
        <v>49</v>
      </c>
      <c r="G14" s="19">
        <v>27.55890410958904</v>
      </c>
      <c r="H14">
        <v>46.484999999999999</v>
      </c>
    </row>
    <row r="15" spans="1:8" x14ac:dyDescent="0.45">
      <c r="A15" s="7" t="s">
        <v>20</v>
      </c>
      <c r="B15" s="7">
        <v>2022</v>
      </c>
      <c r="C15" s="8">
        <v>44695</v>
      </c>
      <c r="D15" s="7" t="s">
        <v>10</v>
      </c>
      <c r="E15" s="7" t="s">
        <v>115</v>
      </c>
      <c r="F15" s="7" t="s">
        <v>19</v>
      </c>
      <c r="G15" s="19">
        <v>24.224657534246575</v>
      </c>
      <c r="H15">
        <v>49.908000000000001</v>
      </c>
    </row>
    <row r="16" spans="1:8" x14ac:dyDescent="0.45">
      <c r="A16" s="11" t="s">
        <v>26</v>
      </c>
      <c r="B16" s="11">
        <v>2022</v>
      </c>
      <c r="C16" s="13">
        <v>44674</v>
      </c>
      <c r="D16" s="11" t="s">
        <v>10</v>
      </c>
      <c r="E16" s="11" t="s">
        <v>65</v>
      </c>
      <c r="F16" s="11" t="s">
        <v>25</v>
      </c>
      <c r="G16" s="19">
        <v>28.134246575342466</v>
      </c>
      <c r="H16">
        <v>47.613</v>
      </c>
    </row>
    <row r="17" spans="1:8" x14ac:dyDescent="0.45">
      <c r="A17" s="7" t="s">
        <v>33</v>
      </c>
      <c r="B17" s="7">
        <v>2021</v>
      </c>
      <c r="C17" s="8">
        <v>44491</v>
      </c>
      <c r="D17" s="7" t="s">
        <v>14</v>
      </c>
      <c r="E17" s="7" t="s">
        <v>65</v>
      </c>
      <c r="F17" s="7" t="s">
        <v>25</v>
      </c>
      <c r="G17" s="19">
        <v>27.632876712328766</v>
      </c>
      <c r="H17">
        <v>47.755000000000003</v>
      </c>
    </row>
    <row r="18" spans="1:8" x14ac:dyDescent="0.45">
      <c r="A18" s="11" t="s">
        <v>30</v>
      </c>
      <c r="B18" s="11">
        <v>2021</v>
      </c>
      <c r="C18" s="13">
        <v>44450</v>
      </c>
      <c r="D18" s="11" t="s">
        <v>10</v>
      </c>
      <c r="E18" s="11" t="s">
        <v>70</v>
      </c>
      <c r="F18" s="11" t="s">
        <v>52</v>
      </c>
      <c r="G18" s="19">
        <v>24.695890410958903</v>
      </c>
      <c r="H18">
        <v>44.646999999999998</v>
      </c>
    </row>
    <row r="19" spans="1:8" x14ac:dyDescent="0.45">
      <c r="A19" s="11" t="s">
        <v>34</v>
      </c>
      <c r="B19" s="11">
        <v>2021</v>
      </c>
      <c r="C19" s="6">
        <v>44416</v>
      </c>
      <c r="D19" s="11" t="s">
        <v>17</v>
      </c>
      <c r="E19" t="s">
        <v>69</v>
      </c>
      <c r="F19" t="s">
        <v>27</v>
      </c>
      <c r="G19" s="19">
        <v>22.586301369863012</v>
      </c>
      <c r="H19">
        <v>48.478999999999999</v>
      </c>
    </row>
    <row r="20" spans="1:8" x14ac:dyDescent="0.45">
      <c r="A20" s="7" t="s">
        <v>35</v>
      </c>
      <c r="B20" s="7">
        <v>2021</v>
      </c>
      <c r="C20" s="8">
        <v>44387</v>
      </c>
      <c r="D20" s="7" t="s">
        <v>10</v>
      </c>
      <c r="E20" s="7" t="s">
        <v>94</v>
      </c>
      <c r="F20" s="7" t="s">
        <v>18</v>
      </c>
      <c r="G20" s="19">
        <v>22.019178082191782</v>
      </c>
      <c r="H20">
        <v>46.423000000000002</v>
      </c>
    </row>
    <row r="21" spans="1:8" x14ac:dyDescent="0.45">
      <c r="A21" s="11" t="s">
        <v>37</v>
      </c>
      <c r="B21" s="11">
        <v>2020</v>
      </c>
      <c r="C21" s="13">
        <v>43889</v>
      </c>
      <c r="D21" s="11" t="s">
        <v>14</v>
      </c>
      <c r="E21" s="11" t="s">
        <v>78</v>
      </c>
      <c r="F21" s="11" t="s">
        <v>11</v>
      </c>
      <c r="G21" s="19">
        <v>37.397260273972606</v>
      </c>
      <c r="H21">
        <v>46.341999999999999</v>
      </c>
    </row>
    <row r="22" spans="1:8" x14ac:dyDescent="0.45">
      <c r="A22" s="14" t="s">
        <v>20</v>
      </c>
      <c r="B22" s="7">
        <v>2020</v>
      </c>
      <c r="C22" s="8">
        <v>43856</v>
      </c>
      <c r="D22" s="7" t="s">
        <v>10</v>
      </c>
      <c r="E22" s="7" t="s">
        <v>64</v>
      </c>
      <c r="F22" s="7" t="s">
        <v>49</v>
      </c>
      <c r="G22" s="19">
        <v>25.106849315068494</v>
      </c>
      <c r="H22">
        <v>46.872</v>
      </c>
    </row>
    <row r="23" spans="1:8" x14ac:dyDescent="0.45">
      <c r="A23" s="11" t="s">
        <v>38</v>
      </c>
      <c r="B23" s="15">
        <v>2019</v>
      </c>
      <c r="C23" s="10">
        <v>43814</v>
      </c>
      <c r="D23" s="15" t="s">
        <v>10</v>
      </c>
      <c r="E23" s="1" t="s">
        <v>64</v>
      </c>
      <c r="F23" s="1" t="s">
        <v>49</v>
      </c>
      <c r="G23" s="19">
        <v>24.991780821917807</v>
      </c>
      <c r="H23">
        <v>47.100999999999999</v>
      </c>
    </row>
    <row r="24" spans="1:8" x14ac:dyDescent="0.45">
      <c r="A24" s="7" t="s">
        <v>40</v>
      </c>
      <c r="B24" s="14">
        <v>2019</v>
      </c>
      <c r="C24" s="16">
        <v>43807</v>
      </c>
      <c r="D24" s="14" t="s">
        <v>10</v>
      </c>
      <c r="E24" s="4" t="s">
        <v>116</v>
      </c>
      <c r="F24" s="4" t="s">
        <v>39</v>
      </c>
      <c r="G24" s="19">
        <v>25.230136986301371</v>
      </c>
      <c r="H24">
        <v>47.585000000000001</v>
      </c>
    </row>
    <row r="25" spans="1:8" x14ac:dyDescent="0.45">
      <c r="A25" s="11" t="s">
        <v>21</v>
      </c>
      <c r="B25" s="11">
        <v>2019</v>
      </c>
      <c r="C25" s="13">
        <v>43800</v>
      </c>
      <c r="D25" s="11" t="s">
        <v>10</v>
      </c>
      <c r="E25" s="1" t="s">
        <v>66</v>
      </c>
      <c r="F25" s="1" t="s">
        <v>23</v>
      </c>
      <c r="G25" s="19">
        <v>22.657534246575342</v>
      </c>
      <c r="H25">
        <v>47.183</v>
      </c>
    </row>
    <row r="26" spans="1:8" x14ac:dyDescent="0.45">
      <c r="A26" s="14" t="s">
        <v>26</v>
      </c>
      <c r="B26" s="14">
        <v>2019</v>
      </c>
      <c r="C26" s="16">
        <v>43778</v>
      </c>
      <c r="D26" s="14" t="s">
        <v>10</v>
      </c>
      <c r="E26" s="4" t="s">
        <v>78</v>
      </c>
      <c r="F26" s="4" t="s">
        <v>11</v>
      </c>
      <c r="G26" s="19">
        <v>37.093150684931508</v>
      </c>
      <c r="H26">
        <v>39.131999999999998</v>
      </c>
    </row>
    <row r="27" spans="1:8" x14ac:dyDescent="0.45">
      <c r="A27" s="15" t="s">
        <v>41</v>
      </c>
      <c r="B27" s="1">
        <v>2019</v>
      </c>
      <c r="C27" s="10">
        <v>43772</v>
      </c>
      <c r="D27" s="1" t="s">
        <v>10</v>
      </c>
      <c r="E27" s="1" t="s">
        <v>73</v>
      </c>
      <c r="F27" s="1" t="s">
        <v>25</v>
      </c>
      <c r="G27" s="19">
        <v>27.545205479452054</v>
      </c>
      <c r="H27">
        <v>49.399000000000001</v>
      </c>
    </row>
    <row r="28" spans="1:8" x14ac:dyDescent="0.45">
      <c r="A28" s="4" t="s">
        <v>42</v>
      </c>
      <c r="B28" s="4">
        <v>2019</v>
      </c>
      <c r="C28" s="16">
        <v>43525</v>
      </c>
      <c r="D28" s="4" t="s">
        <v>14</v>
      </c>
      <c r="E28" s="4" t="s">
        <v>64</v>
      </c>
      <c r="F28" s="4" t="s">
        <v>49</v>
      </c>
      <c r="G28" s="19">
        <v>24.2</v>
      </c>
      <c r="H28">
        <v>47.524000000000001</v>
      </c>
    </row>
    <row r="29" spans="1:8" x14ac:dyDescent="0.45">
      <c r="A29" s="1" t="s">
        <v>21</v>
      </c>
      <c r="B29" s="1">
        <v>2019</v>
      </c>
      <c r="C29" s="10">
        <v>43492</v>
      </c>
      <c r="D29" s="1" t="s">
        <v>10</v>
      </c>
      <c r="E29" s="1" t="s">
        <v>78</v>
      </c>
      <c r="F29" s="1" t="s">
        <v>11</v>
      </c>
      <c r="G29" s="19">
        <v>36.30958904109589</v>
      </c>
      <c r="H29">
        <v>46.454999999999998</v>
      </c>
    </row>
    <row r="30" spans="1:8" x14ac:dyDescent="0.45">
      <c r="A30" s="7" t="s">
        <v>40</v>
      </c>
      <c r="B30" s="7">
        <v>2019</v>
      </c>
      <c r="C30" s="8">
        <v>43484</v>
      </c>
      <c r="D30" s="7" t="s">
        <v>10</v>
      </c>
      <c r="E30" s="4" t="s">
        <v>74</v>
      </c>
      <c r="F30" s="4" t="s">
        <v>39</v>
      </c>
      <c r="G30" s="19">
        <v>27.123287671232877</v>
      </c>
      <c r="H30">
        <v>45.654000000000003</v>
      </c>
    </row>
    <row r="31" spans="1:8" x14ac:dyDescent="0.45">
      <c r="A31" s="11" t="s">
        <v>48</v>
      </c>
      <c r="B31" s="11">
        <v>2018</v>
      </c>
      <c r="C31" s="13">
        <v>43449</v>
      </c>
      <c r="D31" s="11" t="s">
        <v>10</v>
      </c>
      <c r="E31" s="1" t="s">
        <v>78</v>
      </c>
      <c r="F31" s="1" t="s">
        <v>11</v>
      </c>
      <c r="G31" s="19">
        <v>36.19178082191781</v>
      </c>
      <c r="H31">
        <v>49.723999999999997</v>
      </c>
    </row>
    <row r="32" spans="1:8" x14ac:dyDescent="0.45">
      <c r="A32" s="4" t="s">
        <v>37</v>
      </c>
      <c r="B32" s="7">
        <v>2018</v>
      </c>
      <c r="C32" s="8">
        <v>43435</v>
      </c>
      <c r="D32" s="7" t="s">
        <v>10</v>
      </c>
      <c r="E32" s="4" t="s">
        <v>65</v>
      </c>
      <c r="F32" s="4" t="s">
        <v>25</v>
      </c>
      <c r="G32" s="19">
        <v>24.739726027397261</v>
      </c>
      <c r="H32">
        <v>47.703000000000003</v>
      </c>
    </row>
    <row r="33" spans="1:8" x14ac:dyDescent="0.45">
      <c r="A33" s="1" t="s">
        <v>20</v>
      </c>
      <c r="B33" s="11">
        <v>2018</v>
      </c>
      <c r="C33" s="13">
        <v>43401</v>
      </c>
      <c r="D33" s="11" t="s">
        <v>10</v>
      </c>
      <c r="E33" s="1" t="s">
        <v>73</v>
      </c>
      <c r="F33" s="1" t="s">
        <v>25</v>
      </c>
      <c r="G33" s="19">
        <v>26.528767123287672</v>
      </c>
      <c r="H33">
        <v>49.210999999999999</v>
      </c>
    </row>
  </sheetData>
  <conditionalFormatting sqref="A16:A18">
    <cfRule type="expression" dxfId="192" priority="75">
      <formula>$E16="F"</formula>
    </cfRule>
    <cfRule type="expression" dxfId="191" priority="76">
      <formula>$E16="Q"</formula>
    </cfRule>
  </conditionalFormatting>
  <conditionalFormatting sqref="A19">
    <cfRule type="expression" dxfId="190" priority="71">
      <formula>#REF!="F"</formula>
    </cfRule>
    <cfRule type="expression" dxfId="189" priority="72">
      <formula>#REF!="Q"</formula>
    </cfRule>
  </conditionalFormatting>
  <conditionalFormatting sqref="A15">
    <cfRule type="expression" dxfId="188" priority="83">
      <formula>$E15="F"</formula>
    </cfRule>
    <cfRule type="expression" dxfId="187" priority="84">
      <formula>$E15="Q"</formula>
    </cfRule>
  </conditionalFormatting>
  <conditionalFormatting sqref="A22">
    <cfRule type="expression" dxfId="186" priority="68">
      <formula>$E22="R1"</formula>
    </cfRule>
    <cfRule type="expression" dxfId="185" priority="69">
      <formula>$E22="F"</formula>
    </cfRule>
    <cfRule type="expression" dxfId="184" priority="70">
      <formula>$E22="Q"</formula>
    </cfRule>
  </conditionalFormatting>
  <conditionalFormatting sqref="A32">
    <cfRule type="expression" dxfId="183" priority="66">
      <formula>$E32="F"</formula>
    </cfRule>
    <cfRule type="expression" dxfId="182" priority="67">
      <formula>$E32="Q"</formula>
    </cfRule>
  </conditionalFormatting>
  <conditionalFormatting sqref="D5">
    <cfRule type="expression" dxfId="176" priority="61">
      <formula>$E5="F"</formula>
    </cfRule>
    <cfRule type="expression" dxfId="175" priority="62">
      <formula>$E5="SF"</formula>
    </cfRule>
    <cfRule type="expression" dxfId="174" priority="63">
      <formula>$E5="QF"</formula>
    </cfRule>
    <cfRule type="expression" dxfId="173" priority="64">
      <formula>$E5="R16"</formula>
    </cfRule>
    <cfRule type="expression" dxfId="172" priority="65">
      <formula>$E5="R8"</formula>
    </cfRule>
  </conditionalFormatting>
  <conditionalFormatting sqref="C8">
    <cfRule type="expression" dxfId="171" priority="59">
      <formula>$E8="F"</formula>
    </cfRule>
    <cfRule type="expression" dxfId="170" priority="60">
      <formula>$E8="Q"</formula>
    </cfRule>
  </conditionalFormatting>
  <conditionalFormatting sqref="B8">
    <cfRule type="expression" dxfId="169" priority="56">
      <formula>$E8="Q"</formula>
    </cfRule>
    <cfRule type="expression" dxfId="168" priority="57">
      <formula>$E8="G"</formula>
    </cfRule>
    <cfRule type="expression" dxfId="167" priority="58">
      <formula>$E8="B"</formula>
    </cfRule>
  </conditionalFormatting>
  <conditionalFormatting sqref="D8">
    <cfRule type="expression" dxfId="166" priority="53">
      <formula>$E8="Q"</formula>
    </cfRule>
    <cfRule type="expression" dxfId="165" priority="54">
      <formula>$E8="G"</formula>
    </cfRule>
    <cfRule type="expression" dxfId="164" priority="55">
      <formula>$E8="B"</formula>
    </cfRule>
  </conditionalFormatting>
  <conditionalFormatting sqref="B9 D9">
    <cfRule type="expression" dxfId="163" priority="51">
      <formula>#REF!="F"</formula>
    </cfRule>
    <cfRule type="expression" dxfId="162" priority="52">
      <formula>#REF!="Q"</formula>
    </cfRule>
  </conditionalFormatting>
  <conditionalFormatting sqref="B10 D10">
    <cfRule type="expression" dxfId="161" priority="49">
      <formula>#REF!="F"</formula>
    </cfRule>
    <cfRule type="expression" dxfId="160" priority="50">
      <formula>#REF!="Q"</formula>
    </cfRule>
  </conditionalFormatting>
  <conditionalFormatting sqref="B11 D11">
    <cfRule type="expression" dxfId="159" priority="47">
      <formula>#REF!="F"</formula>
    </cfRule>
    <cfRule type="expression" dxfId="158" priority="48">
      <formula>#REF!="Q"</formula>
    </cfRule>
  </conditionalFormatting>
  <conditionalFormatting sqref="B12 D12">
    <cfRule type="expression" dxfId="157" priority="45">
      <formula>#REF!="F"</formula>
    </cfRule>
    <cfRule type="expression" dxfId="156" priority="46">
      <formula>#REF!="Q"</formula>
    </cfRule>
  </conditionalFormatting>
  <conditionalFormatting sqref="B13 D13">
    <cfRule type="expression" dxfId="155" priority="43">
      <formula>#REF!="F"</formula>
    </cfRule>
    <cfRule type="expression" dxfId="154" priority="44">
      <formula>#REF!="Q"</formula>
    </cfRule>
  </conditionalFormatting>
  <conditionalFormatting sqref="D14:D15 B14:B15">
    <cfRule type="expression" dxfId="153" priority="41">
      <formula>#REF!="F"</formula>
    </cfRule>
    <cfRule type="expression" dxfId="152" priority="42">
      <formula>#REF!="Q"</formula>
    </cfRule>
  </conditionalFormatting>
  <conditionalFormatting sqref="D16">
    <cfRule type="expression" dxfId="151" priority="39">
      <formula>#REF!="F"</formula>
    </cfRule>
    <cfRule type="expression" dxfId="150" priority="40">
      <formula>#REF!="Q"</formula>
    </cfRule>
  </conditionalFormatting>
  <conditionalFormatting sqref="B16">
    <cfRule type="expression" dxfId="149" priority="37">
      <formula>#REF!="F"</formula>
    </cfRule>
    <cfRule type="expression" dxfId="148" priority="38">
      <formula>#REF!="Q"</formula>
    </cfRule>
  </conditionalFormatting>
  <conditionalFormatting sqref="D17">
    <cfRule type="expression" dxfId="147" priority="35">
      <formula>#REF!="F"</formula>
    </cfRule>
    <cfRule type="expression" dxfId="146" priority="36">
      <formula>#REF!="Q"</formula>
    </cfRule>
  </conditionalFormatting>
  <conditionalFormatting sqref="B17">
    <cfRule type="expression" dxfId="145" priority="33">
      <formula>#REF!="F"</formula>
    </cfRule>
    <cfRule type="expression" dxfId="144" priority="34">
      <formula>#REF!="Q"</formula>
    </cfRule>
  </conditionalFormatting>
  <conditionalFormatting sqref="D18">
    <cfRule type="expression" dxfId="143" priority="31">
      <formula>#REF!="F"</formula>
    </cfRule>
    <cfRule type="expression" dxfId="142" priority="32">
      <formula>#REF!="Q"</formula>
    </cfRule>
  </conditionalFormatting>
  <conditionalFormatting sqref="B18">
    <cfRule type="expression" dxfId="141" priority="29">
      <formula>#REF!="F"</formula>
    </cfRule>
    <cfRule type="expression" dxfId="140" priority="30">
      <formula>#REF!="Q"</formula>
    </cfRule>
  </conditionalFormatting>
  <conditionalFormatting sqref="D24 B24">
    <cfRule type="expression" dxfId="139" priority="27">
      <formula>#REF!="F"</formula>
    </cfRule>
    <cfRule type="expression" dxfId="138" priority="28">
      <formula>#REF!="Q"</formula>
    </cfRule>
  </conditionalFormatting>
  <conditionalFormatting sqref="B26:D26">
    <cfRule type="expression" dxfId="137" priority="24">
      <formula>$E26="Q"</formula>
    </cfRule>
    <cfRule type="expression" dxfId="136" priority="25">
      <formula>$E26="G"</formula>
    </cfRule>
    <cfRule type="expression" dxfId="135" priority="26">
      <formula>$E26="B"</formula>
    </cfRule>
  </conditionalFormatting>
  <conditionalFormatting sqref="B27">
    <cfRule type="expression" dxfId="134" priority="21">
      <formula>#REF!="R1"</formula>
    </cfRule>
    <cfRule type="expression" dxfId="133" priority="22">
      <formula>#REF!="F"</formula>
    </cfRule>
    <cfRule type="expression" dxfId="132" priority="23">
      <formula>#REF!="Q"</formula>
    </cfRule>
  </conditionalFormatting>
  <conditionalFormatting sqref="D27">
    <cfRule type="expression" dxfId="131" priority="18">
      <formula>#REF!="R1"</formula>
    </cfRule>
    <cfRule type="expression" dxfId="130" priority="19">
      <formula>#REF!="F"</formula>
    </cfRule>
    <cfRule type="expression" dxfId="129" priority="20">
      <formula>#REF!="Q"</formula>
    </cfRule>
  </conditionalFormatting>
  <conditionalFormatting sqref="C27">
    <cfRule type="expression" dxfId="128" priority="15">
      <formula>$E27="R1"</formula>
    </cfRule>
    <cfRule type="expression" dxfId="127" priority="16">
      <formula>$E27="F"</formula>
    </cfRule>
    <cfRule type="expression" dxfId="126" priority="17">
      <formula>$E27="Q"</formula>
    </cfRule>
  </conditionalFormatting>
  <conditionalFormatting sqref="B28">
    <cfRule type="expression" dxfId="125" priority="12">
      <formula>#REF!="R1"</formula>
    </cfRule>
    <cfRule type="expression" dxfId="124" priority="13">
      <formula>#REF!="F"</formula>
    </cfRule>
    <cfRule type="expression" dxfId="123" priority="14">
      <formula>#REF!="Q"</formula>
    </cfRule>
  </conditionalFormatting>
  <conditionalFormatting sqref="D28">
    <cfRule type="expression" dxfId="122" priority="9">
      <formula>#REF!="R1"</formula>
    </cfRule>
    <cfRule type="expression" dxfId="121" priority="10">
      <formula>#REF!="F"</formula>
    </cfRule>
    <cfRule type="expression" dxfId="120" priority="11">
      <formula>#REF!="Q"</formula>
    </cfRule>
  </conditionalFormatting>
  <conditionalFormatting sqref="B29">
    <cfRule type="expression" dxfId="119" priority="6">
      <formula>#REF!="R1"</formula>
    </cfRule>
    <cfRule type="expression" dxfId="118" priority="7">
      <formula>#REF!="F"</formula>
    </cfRule>
    <cfRule type="expression" dxfId="117" priority="8">
      <formula>#REF!="Q"</formula>
    </cfRule>
  </conditionalFormatting>
  <conditionalFormatting sqref="D29">
    <cfRule type="expression" dxfId="116" priority="3">
      <formula>#REF!="R1"</formula>
    </cfRule>
    <cfRule type="expression" dxfId="115" priority="4">
      <formula>#REF!="F"</formula>
    </cfRule>
    <cfRule type="expression" dxfId="114" priority="5">
      <formula>#REF!="Q"</formula>
    </cfRule>
  </conditionalFormatting>
  <conditionalFormatting sqref="B32:D32">
    <cfRule type="expression" dxfId="113" priority="1">
      <formula>$E32="Q"</formula>
    </cfRule>
    <cfRule type="expression" dxfId="112" priority="2">
      <formula>$E32="F"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5ED06-5656-410A-9AA4-77E4A7D24CDD}">
  <dimension ref="A1:R127"/>
  <sheetViews>
    <sheetView tabSelected="1" zoomScale="85" zoomScaleNormal="85" workbookViewId="0">
      <pane ySplit="1" topLeftCell="A62" activePane="bottomLeft" state="frozen"/>
      <selection pane="bottomLeft" activeCell="P79" sqref="P79"/>
    </sheetView>
  </sheetViews>
  <sheetFormatPr defaultRowHeight="14.25" x14ac:dyDescent="0.45"/>
  <cols>
    <col min="3" max="3" width="10.53125" bestFit="1" customWidth="1"/>
    <col min="5" max="5" width="27.796875" bestFit="1" customWidth="1"/>
    <col min="10" max="10" width="10.53125" bestFit="1" customWidth="1"/>
  </cols>
  <sheetData>
    <row r="1" spans="1:18" x14ac:dyDescent="0.45">
      <c r="A1" s="5" t="s">
        <v>0</v>
      </c>
      <c r="B1" s="5" t="s">
        <v>1</v>
      </c>
      <c r="C1" s="5" t="s">
        <v>2</v>
      </c>
      <c r="D1" s="5" t="s">
        <v>3</v>
      </c>
      <c r="E1" s="5" t="s">
        <v>45</v>
      </c>
      <c r="F1" t="s">
        <v>4</v>
      </c>
      <c r="G1" s="5" t="s">
        <v>46</v>
      </c>
      <c r="H1" s="5" t="s">
        <v>5</v>
      </c>
      <c r="I1" s="5" t="s">
        <v>53</v>
      </c>
      <c r="J1" s="5" t="s">
        <v>54</v>
      </c>
      <c r="K1" s="5" t="s">
        <v>55</v>
      </c>
      <c r="L1" s="5" t="s">
        <v>56</v>
      </c>
      <c r="M1" s="5" t="s">
        <v>6</v>
      </c>
      <c r="N1" s="5" t="s">
        <v>57</v>
      </c>
      <c r="O1" s="9" t="s">
        <v>44</v>
      </c>
      <c r="P1" s="9" t="s">
        <v>43</v>
      </c>
      <c r="Q1" s="9" t="s">
        <v>58</v>
      </c>
      <c r="R1" s="9" t="s">
        <v>8</v>
      </c>
    </row>
    <row r="2" spans="1:18" x14ac:dyDescent="0.45">
      <c r="A2" s="17" t="s">
        <v>59</v>
      </c>
      <c r="B2" s="7">
        <v>2025</v>
      </c>
      <c r="C2" s="6">
        <v>45952</v>
      </c>
      <c r="D2" s="7" t="s">
        <v>14</v>
      </c>
      <c r="E2" s="5" t="s">
        <v>114</v>
      </c>
      <c r="F2" s="5" t="s">
        <v>11</v>
      </c>
      <c r="G2" s="19">
        <v>26.61917808219178</v>
      </c>
      <c r="H2" s="11">
        <v>1</v>
      </c>
      <c r="I2" s="5">
        <v>40</v>
      </c>
      <c r="J2" s="5">
        <v>30</v>
      </c>
      <c r="K2" s="5">
        <v>40</v>
      </c>
      <c r="L2" s="5">
        <v>110</v>
      </c>
      <c r="M2" s="5">
        <v>0</v>
      </c>
      <c r="N2" s="5">
        <v>136</v>
      </c>
      <c r="O2" s="17">
        <v>7</v>
      </c>
      <c r="P2" s="17">
        <v>3</v>
      </c>
      <c r="Q2">
        <f>N2-L2</f>
        <v>26</v>
      </c>
      <c r="R2" s="17">
        <v>56.356000000000002</v>
      </c>
    </row>
    <row r="3" spans="1:18" x14ac:dyDescent="0.45">
      <c r="A3" s="17" t="s">
        <v>59</v>
      </c>
      <c r="B3" s="7">
        <v>2025</v>
      </c>
      <c r="C3" s="6">
        <v>45952</v>
      </c>
      <c r="D3" s="7" t="s">
        <v>14</v>
      </c>
      <c r="E3" s="5" t="s">
        <v>80</v>
      </c>
      <c r="F3" s="5" t="s">
        <v>27</v>
      </c>
      <c r="G3" s="19">
        <v>27.92876712328767</v>
      </c>
      <c r="H3" s="11">
        <v>2</v>
      </c>
      <c r="I3" s="5">
        <v>34</v>
      </c>
      <c r="J3" s="5">
        <v>38</v>
      </c>
      <c r="K3" s="5">
        <v>28</v>
      </c>
      <c r="L3" s="5">
        <v>100</v>
      </c>
      <c r="M3" s="5">
        <v>20</v>
      </c>
      <c r="N3" s="5">
        <v>127</v>
      </c>
      <c r="O3" s="17">
        <v>2</v>
      </c>
      <c r="P3" s="17">
        <v>1</v>
      </c>
      <c r="Q3">
        <f t="shared" ref="Q3:Q4" si="0">N3-L3</f>
        <v>27</v>
      </c>
      <c r="R3" s="17">
        <v>56.356000000000002</v>
      </c>
    </row>
    <row r="4" spans="1:18" x14ac:dyDescent="0.45">
      <c r="A4" s="17" t="s">
        <v>59</v>
      </c>
      <c r="B4" s="7">
        <v>2025</v>
      </c>
      <c r="C4" s="6">
        <v>45952</v>
      </c>
      <c r="D4" s="7" t="s">
        <v>14</v>
      </c>
      <c r="E4" s="5" t="s">
        <v>90</v>
      </c>
      <c r="F4" s="5" t="s">
        <v>15</v>
      </c>
      <c r="G4" s="19">
        <v>29.432876712328767</v>
      </c>
      <c r="H4" s="11">
        <v>3</v>
      </c>
      <c r="I4" s="5">
        <v>38</v>
      </c>
      <c r="J4" s="5">
        <v>34</v>
      </c>
      <c r="K4" s="5">
        <v>32</v>
      </c>
      <c r="L4" s="5">
        <v>104</v>
      </c>
      <c r="M4" s="5">
        <v>0</v>
      </c>
      <c r="N4" s="5">
        <v>120</v>
      </c>
      <c r="O4" s="17">
        <v>4</v>
      </c>
      <c r="P4" s="17">
        <v>1</v>
      </c>
      <c r="Q4">
        <f t="shared" si="0"/>
        <v>16</v>
      </c>
      <c r="R4" s="17">
        <v>56.356000000000002</v>
      </c>
    </row>
    <row r="5" spans="1:18" x14ac:dyDescent="0.45">
      <c r="A5" s="11" t="s">
        <v>9</v>
      </c>
      <c r="B5" s="11">
        <v>2025</v>
      </c>
      <c r="C5" s="6">
        <v>45730</v>
      </c>
      <c r="D5" s="11" t="s">
        <v>10</v>
      </c>
      <c r="E5" s="5" t="s">
        <v>67</v>
      </c>
      <c r="F5" s="5" t="s">
        <v>22</v>
      </c>
      <c r="G5" s="19">
        <v>24.205479452054796</v>
      </c>
      <c r="H5" s="11">
        <v>1</v>
      </c>
      <c r="I5" s="5">
        <v>14</v>
      </c>
      <c r="J5" s="5">
        <v>38</v>
      </c>
      <c r="K5" s="5">
        <v>40</v>
      </c>
      <c r="L5" s="5">
        <v>92</v>
      </c>
      <c r="M5" s="5">
        <v>20</v>
      </c>
      <c r="N5" s="5">
        <v>128</v>
      </c>
      <c r="O5">
        <v>3</v>
      </c>
      <c r="P5">
        <v>1</v>
      </c>
      <c r="Q5">
        <v>66</v>
      </c>
      <c r="R5">
        <v>56.284999999999997</v>
      </c>
    </row>
    <row r="6" spans="1:18" x14ac:dyDescent="0.45">
      <c r="A6" s="11" t="s">
        <v>9</v>
      </c>
      <c r="B6" s="11">
        <v>2025</v>
      </c>
      <c r="C6" s="6">
        <v>45730</v>
      </c>
      <c r="D6" s="11" t="s">
        <v>10</v>
      </c>
      <c r="E6" s="5" t="s">
        <v>117</v>
      </c>
      <c r="F6" s="5" t="s">
        <v>11</v>
      </c>
      <c r="G6" s="19">
        <v>21.134246575342466</v>
      </c>
      <c r="H6" s="11">
        <v>2</v>
      </c>
      <c r="I6" s="5">
        <v>36</v>
      </c>
      <c r="J6" s="5">
        <v>36</v>
      </c>
      <c r="K6" s="5">
        <v>32</v>
      </c>
      <c r="L6" s="5">
        <v>104</v>
      </c>
      <c r="M6" s="5">
        <v>0</v>
      </c>
      <c r="N6" s="5">
        <v>115</v>
      </c>
      <c r="O6">
        <v>2</v>
      </c>
      <c r="P6">
        <v>1</v>
      </c>
      <c r="Q6">
        <v>59</v>
      </c>
      <c r="R6">
        <v>56.284999999999997</v>
      </c>
    </row>
    <row r="7" spans="1:18" x14ac:dyDescent="0.45">
      <c r="A7" s="11" t="s">
        <v>9</v>
      </c>
      <c r="B7" s="11">
        <v>2025</v>
      </c>
      <c r="C7" s="6">
        <v>45730</v>
      </c>
      <c r="D7" s="11" t="s">
        <v>10</v>
      </c>
      <c r="E7" s="5" t="s">
        <v>118</v>
      </c>
      <c r="F7" s="5" t="s">
        <v>119</v>
      </c>
      <c r="G7" s="19" t="e">
        <v>#N/A</v>
      </c>
      <c r="H7" s="11">
        <v>3</v>
      </c>
      <c r="I7" s="5">
        <v>28</v>
      </c>
      <c r="J7" s="5">
        <v>34</v>
      </c>
      <c r="K7" s="5">
        <v>28</v>
      </c>
      <c r="L7" s="5">
        <v>90</v>
      </c>
      <c r="M7" s="5">
        <v>20</v>
      </c>
      <c r="N7" s="5">
        <v>113</v>
      </c>
      <c r="O7">
        <v>1</v>
      </c>
      <c r="P7">
        <v>0</v>
      </c>
      <c r="Q7">
        <v>50</v>
      </c>
      <c r="R7">
        <v>56.284999999999997</v>
      </c>
    </row>
    <row r="8" spans="1:18" x14ac:dyDescent="0.45">
      <c r="A8" s="5" t="s">
        <v>13</v>
      </c>
      <c r="B8" s="11">
        <v>2024</v>
      </c>
      <c r="C8" s="6">
        <v>45583</v>
      </c>
      <c r="D8" s="11" t="s">
        <v>14</v>
      </c>
      <c r="E8" s="5" t="s">
        <v>67</v>
      </c>
      <c r="F8" s="5" t="s">
        <v>22</v>
      </c>
      <c r="G8" s="19">
        <v>23.802739726027397</v>
      </c>
      <c r="H8" s="11">
        <v>1</v>
      </c>
      <c r="I8" s="5">
        <v>24</v>
      </c>
      <c r="J8" s="5">
        <v>40</v>
      </c>
      <c r="K8" s="5">
        <v>40</v>
      </c>
      <c r="L8" s="5">
        <v>104</v>
      </c>
      <c r="M8" s="5">
        <v>0</v>
      </c>
      <c r="N8" s="5">
        <v>131</v>
      </c>
      <c r="O8">
        <v>6</v>
      </c>
      <c r="P8">
        <v>3</v>
      </c>
      <c r="Q8">
        <v>66</v>
      </c>
      <c r="R8" s="3">
        <v>54.710999999999999</v>
      </c>
    </row>
    <row r="9" spans="1:18" x14ac:dyDescent="0.45">
      <c r="A9" s="5" t="s">
        <v>13</v>
      </c>
      <c r="B9" s="11">
        <v>2024</v>
      </c>
      <c r="C9" s="6">
        <v>45583</v>
      </c>
      <c r="D9" s="11" t="s">
        <v>14</v>
      </c>
      <c r="E9" s="5" t="s">
        <v>79</v>
      </c>
      <c r="F9" s="5" t="s">
        <v>25</v>
      </c>
      <c r="G9" s="19">
        <v>25.539726027397261</v>
      </c>
      <c r="H9" s="11">
        <v>2</v>
      </c>
      <c r="I9" s="5">
        <v>28</v>
      </c>
      <c r="J9" s="5">
        <v>36</v>
      </c>
      <c r="K9" s="5">
        <v>28</v>
      </c>
      <c r="L9" s="5">
        <v>92</v>
      </c>
      <c r="M9" s="5">
        <v>20</v>
      </c>
      <c r="N9" s="5">
        <v>119</v>
      </c>
      <c r="O9">
        <v>2</v>
      </c>
      <c r="P9">
        <v>1</v>
      </c>
      <c r="Q9">
        <v>34</v>
      </c>
      <c r="R9" s="3">
        <v>54.710999999999999</v>
      </c>
    </row>
    <row r="10" spans="1:18" x14ac:dyDescent="0.45">
      <c r="A10" s="5" t="s">
        <v>13</v>
      </c>
      <c r="B10" s="11">
        <v>2024</v>
      </c>
      <c r="C10" s="6">
        <v>45583</v>
      </c>
      <c r="D10" s="11" t="s">
        <v>14</v>
      </c>
      <c r="E10" s="5" t="s">
        <v>92</v>
      </c>
      <c r="F10" s="5" t="s">
        <v>93</v>
      </c>
      <c r="G10" s="19">
        <v>32.161643835616438</v>
      </c>
      <c r="H10" s="11">
        <v>3</v>
      </c>
      <c r="I10" s="5">
        <v>34</v>
      </c>
      <c r="J10" s="5">
        <v>34</v>
      </c>
      <c r="K10" s="5">
        <v>36</v>
      </c>
      <c r="L10" s="5">
        <v>104</v>
      </c>
      <c r="M10" s="5">
        <v>0</v>
      </c>
      <c r="N10" s="5">
        <v>110</v>
      </c>
      <c r="O10">
        <v>5</v>
      </c>
      <c r="P10">
        <v>0</v>
      </c>
      <c r="Q10">
        <v>16</v>
      </c>
      <c r="R10" s="3">
        <v>54.710999999999999</v>
      </c>
    </row>
    <row r="11" spans="1:18" x14ac:dyDescent="0.45">
      <c r="A11" s="11" t="s">
        <v>16</v>
      </c>
      <c r="B11" s="18">
        <v>2024</v>
      </c>
      <c r="C11" s="6">
        <v>45543</v>
      </c>
      <c r="D11" s="18" t="s">
        <v>17</v>
      </c>
      <c r="E11" s="5" t="s">
        <v>64</v>
      </c>
      <c r="F11" s="5" t="s">
        <v>49</v>
      </c>
      <c r="G11" s="19">
        <v>29.728767123287671</v>
      </c>
      <c r="H11" s="11">
        <v>1</v>
      </c>
      <c r="I11" s="5">
        <v>40</v>
      </c>
      <c r="J11" s="5">
        <v>38</v>
      </c>
      <c r="K11" s="5">
        <v>40</v>
      </c>
      <c r="L11" s="5">
        <v>118</v>
      </c>
      <c r="M11" s="5">
        <v>20</v>
      </c>
      <c r="N11" s="5">
        <v>144</v>
      </c>
      <c r="O11">
        <v>2</v>
      </c>
      <c r="P11">
        <v>1</v>
      </c>
      <c r="Q11">
        <v>66</v>
      </c>
      <c r="R11">
        <v>55.728000000000002</v>
      </c>
    </row>
    <row r="12" spans="1:18" x14ac:dyDescent="0.45">
      <c r="A12" s="11" t="s">
        <v>16</v>
      </c>
      <c r="B12" s="18">
        <v>2024</v>
      </c>
      <c r="C12" s="6">
        <v>45543</v>
      </c>
      <c r="D12" s="18" t="s">
        <v>17</v>
      </c>
      <c r="E12" s="5" t="s">
        <v>70</v>
      </c>
      <c r="F12" s="5" t="s">
        <v>52</v>
      </c>
      <c r="G12" s="19">
        <v>27.69041095890411</v>
      </c>
      <c r="H12" s="11">
        <v>2</v>
      </c>
      <c r="I12" s="5">
        <v>14</v>
      </c>
      <c r="J12" s="5">
        <v>36</v>
      </c>
      <c r="K12" s="5">
        <v>22</v>
      </c>
      <c r="L12" s="5">
        <v>72</v>
      </c>
      <c r="M12" s="5">
        <v>40</v>
      </c>
      <c r="N12" s="5">
        <v>131</v>
      </c>
      <c r="O12">
        <v>6</v>
      </c>
      <c r="P12">
        <v>2</v>
      </c>
      <c r="Q12">
        <v>59</v>
      </c>
      <c r="R12">
        <v>55.728000000000002</v>
      </c>
    </row>
    <row r="13" spans="1:18" x14ac:dyDescent="0.45">
      <c r="A13" s="11" t="s">
        <v>16</v>
      </c>
      <c r="B13" s="18">
        <v>2024</v>
      </c>
      <c r="C13" s="6">
        <v>45543</v>
      </c>
      <c r="D13" s="18" t="s">
        <v>17</v>
      </c>
      <c r="E13" s="5" t="s">
        <v>67</v>
      </c>
      <c r="F13" s="5" t="s">
        <v>22</v>
      </c>
      <c r="G13" s="19">
        <v>23.693150684931506</v>
      </c>
      <c r="H13" s="11">
        <v>3</v>
      </c>
      <c r="I13" s="5">
        <v>32</v>
      </c>
      <c r="J13" s="5">
        <v>24</v>
      </c>
      <c r="K13" s="5">
        <v>18</v>
      </c>
      <c r="L13" s="5">
        <v>74</v>
      </c>
      <c r="M13" s="5">
        <v>40</v>
      </c>
      <c r="N13" s="5">
        <v>125</v>
      </c>
      <c r="O13">
        <v>2</v>
      </c>
      <c r="P13">
        <v>1</v>
      </c>
      <c r="Q13">
        <v>25</v>
      </c>
      <c r="R13">
        <v>55.728000000000002</v>
      </c>
    </row>
    <row r="14" spans="1:18" x14ac:dyDescent="0.45">
      <c r="A14" s="5" t="s">
        <v>20</v>
      </c>
      <c r="B14" s="11">
        <v>2024</v>
      </c>
      <c r="C14" s="6">
        <v>45396</v>
      </c>
      <c r="D14" s="11" t="s">
        <v>10</v>
      </c>
      <c r="E14" s="5" t="s">
        <v>65</v>
      </c>
      <c r="F14" s="5" t="s">
        <v>25</v>
      </c>
      <c r="G14" s="19">
        <v>30.112328767123287</v>
      </c>
      <c r="H14" s="11">
        <v>1</v>
      </c>
      <c r="I14" s="5">
        <v>40</v>
      </c>
      <c r="J14" s="5">
        <v>40</v>
      </c>
      <c r="K14" s="5">
        <v>40</v>
      </c>
      <c r="L14" s="5">
        <v>120</v>
      </c>
      <c r="M14" s="5">
        <v>0</v>
      </c>
      <c r="N14" s="5">
        <v>131</v>
      </c>
      <c r="O14">
        <v>4</v>
      </c>
      <c r="P14">
        <v>1</v>
      </c>
      <c r="Q14">
        <v>55</v>
      </c>
      <c r="R14">
        <v>54.579000000000001</v>
      </c>
    </row>
    <row r="15" spans="1:18" x14ac:dyDescent="0.45">
      <c r="A15" s="5" t="s">
        <v>20</v>
      </c>
      <c r="B15" s="11">
        <v>2024</v>
      </c>
      <c r="C15" s="6">
        <v>45396</v>
      </c>
      <c r="D15" s="11" t="s">
        <v>10</v>
      </c>
      <c r="E15" s="5" t="s">
        <v>77</v>
      </c>
      <c r="F15" s="5" t="s">
        <v>19</v>
      </c>
      <c r="G15" s="19">
        <v>24.747945205479454</v>
      </c>
      <c r="H15" s="11">
        <v>2</v>
      </c>
      <c r="I15" s="5">
        <v>38</v>
      </c>
      <c r="J15" s="5">
        <v>30</v>
      </c>
      <c r="K15" s="5">
        <v>34</v>
      </c>
      <c r="L15" s="5">
        <v>102</v>
      </c>
      <c r="M15" s="5">
        <v>0</v>
      </c>
      <c r="N15" s="5">
        <v>111</v>
      </c>
      <c r="O15">
        <v>4</v>
      </c>
      <c r="P15">
        <v>1</v>
      </c>
      <c r="Q15">
        <v>42</v>
      </c>
      <c r="R15">
        <v>54.579000000000001</v>
      </c>
    </row>
    <row r="16" spans="1:18" x14ac:dyDescent="0.45">
      <c r="A16" s="5" t="s">
        <v>20</v>
      </c>
      <c r="B16" s="11">
        <v>2024</v>
      </c>
      <c r="C16" s="6">
        <v>45396</v>
      </c>
      <c r="D16" s="11" t="s">
        <v>10</v>
      </c>
      <c r="E16" s="5" t="s">
        <v>64</v>
      </c>
      <c r="F16" s="5" t="s">
        <v>49</v>
      </c>
      <c r="G16" s="19">
        <v>29.326027397260273</v>
      </c>
      <c r="H16" s="11">
        <v>3</v>
      </c>
      <c r="I16" s="5">
        <v>30</v>
      </c>
      <c r="J16" s="5">
        <v>34</v>
      </c>
      <c r="K16" s="5">
        <v>38</v>
      </c>
      <c r="L16" s="5">
        <v>102</v>
      </c>
      <c r="M16" s="5">
        <v>0</v>
      </c>
      <c r="N16" s="5">
        <v>107</v>
      </c>
      <c r="O16">
        <v>1</v>
      </c>
      <c r="P16">
        <v>1</v>
      </c>
      <c r="Q16">
        <v>41</v>
      </c>
      <c r="R16">
        <v>54.579000000000001</v>
      </c>
    </row>
    <row r="17" spans="1:18" x14ac:dyDescent="0.45">
      <c r="A17" s="11" t="s">
        <v>21</v>
      </c>
      <c r="B17" s="11">
        <v>2024</v>
      </c>
      <c r="C17" s="6">
        <v>45368</v>
      </c>
      <c r="D17" s="11" t="s">
        <v>10</v>
      </c>
      <c r="E17" s="5" t="s">
        <v>66</v>
      </c>
      <c r="F17" s="5" t="s">
        <v>23</v>
      </c>
      <c r="G17" s="19">
        <v>26.953424657534246</v>
      </c>
      <c r="H17" s="11">
        <v>1</v>
      </c>
      <c r="I17" s="5">
        <v>40</v>
      </c>
      <c r="J17" s="5">
        <v>34</v>
      </c>
      <c r="K17" s="5">
        <v>40</v>
      </c>
      <c r="L17" s="5">
        <v>114</v>
      </c>
      <c r="M17" s="5">
        <v>0</v>
      </c>
      <c r="N17" s="5">
        <v>124</v>
      </c>
      <c r="O17">
        <v>3</v>
      </c>
      <c r="P17">
        <v>1</v>
      </c>
      <c r="Q17">
        <v>71</v>
      </c>
      <c r="R17">
        <v>54.579000000000001</v>
      </c>
    </row>
    <row r="18" spans="1:18" x14ac:dyDescent="0.45">
      <c r="A18" s="11" t="s">
        <v>21</v>
      </c>
      <c r="B18" s="11">
        <v>2024</v>
      </c>
      <c r="C18" s="6">
        <v>45368</v>
      </c>
      <c r="D18" s="11" t="s">
        <v>10</v>
      </c>
      <c r="E18" s="5" t="s">
        <v>62</v>
      </c>
      <c r="F18" s="5" t="s">
        <v>87</v>
      </c>
      <c r="G18" s="19">
        <v>22.18904109589041</v>
      </c>
      <c r="H18" s="11">
        <v>2</v>
      </c>
      <c r="I18" s="5">
        <v>38</v>
      </c>
      <c r="J18" s="5">
        <v>38</v>
      </c>
      <c r="K18" s="5">
        <v>24</v>
      </c>
      <c r="L18" s="5">
        <v>100</v>
      </c>
      <c r="M18" s="5">
        <v>0</v>
      </c>
      <c r="N18" s="5">
        <v>113</v>
      </c>
      <c r="O18">
        <v>4</v>
      </c>
      <c r="P18">
        <v>0</v>
      </c>
      <c r="Q18">
        <v>29</v>
      </c>
      <c r="R18">
        <v>54.579000000000001</v>
      </c>
    </row>
    <row r="19" spans="1:18" x14ac:dyDescent="0.45">
      <c r="A19" s="11" t="s">
        <v>21</v>
      </c>
      <c r="B19" s="11">
        <v>2024</v>
      </c>
      <c r="C19" s="6">
        <v>45368</v>
      </c>
      <c r="D19" s="11" t="s">
        <v>10</v>
      </c>
      <c r="E19" s="5" t="s">
        <v>83</v>
      </c>
      <c r="F19" s="5" t="s">
        <v>51</v>
      </c>
      <c r="G19" s="19">
        <v>22.920547945205481</v>
      </c>
      <c r="H19" s="11">
        <v>3</v>
      </c>
      <c r="I19" s="5">
        <v>36</v>
      </c>
      <c r="J19" s="5">
        <v>36</v>
      </c>
      <c r="K19" s="5">
        <v>32</v>
      </c>
      <c r="L19" s="5">
        <v>104</v>
      </c>
      <c r="M19" s="5">
        <v>0</v>
      </c>
      <c r="N19" s="5">
        <v>108</v>
      </c>
      <c r="O19">
        <v>2</v>
      </c>
      <c r="P19">
        <v>0</v>
      </c>
      <c r="Q19">
        <v>27</v>
      </c>
      <c r="R19">
        <v>54.579000000000001</v>
      </c>
    </row>
    <row r="20" spans="1:18" x14ac:dyDescent="0.45">
      <c r="A20" s="11" t="s">
        <v>24</v>
      </c>
      <c r="B20" s="11">
        <v>2024</v>
      </c>
      <c r="C20" s="13">
        <v>45325</v>
      </c>
      <c r="D20" s="11" t="s">
        <v>10</v>
      </c>
      <c r="E20" s="5" t="s">
        <v>67</v>
      </c>
      <c r="F20" s="5" t="s">
        <v>22</v>
      </c>
      <c r="G20" s="19">
        <v>23.095890410958905</v>
      </c>
      <c r="H20" s="11">
        <v>1</v>
      </c>
      <c r="I20" s="5">
        <v>40</v>
      </c>
      <c r="J20" s="5">
        <v>36</v>
      </c>
      <c r="K20" s="5">
        <v>40</v>
      </c>
      <c r="L20" s="5">
        <v>116</v>
      </c>
      <c r="M20" s="5">
        <v>0</v>
      </c>
      <c r="N20" s="5">
        <v>134</v>
      </c>
      <c r="O20">
        <v>3</v>
      </c>
      <c r="P20">
        <v>2</v>
      </c>
      <c r="Q20">
        <v>6</v>
      </c>
      <c r="R20">
        <v>51.195</v>
      </c>
    </row>
    <row r="21" spans="1:18" x14ac:dyDescent="0.45">
      <c r="A21" s="11" t="s">
        <v>24</v>
      </c>
      <c r="B21" s="11">
        <v>2024</v>
      </c>
      <c r="C21" s="13">
        <v>45325</v>
      </c>
      <c r="D21" s="11" t="s">
        <v>10</v>
      </c>
      <c r="E21" s="5" t="s">
        <v>65</v>
      </c>
      <c r="F21" s="5" t="s">
        <v>25</v>
      </c>
      <c r="G21" s="19">
        <v>29.917808219178081</v>
      </c>
      <c r="H21" s="11">
        <v>2</v>
      </c>
      <c r="I21" s="5">
        <v>38</v>
      </c>
      <c r="J21" s="5">
        <v>38</v>
      </c>
      <c r="K21" s="5">
        <v>36</v>
      </c>
      <c r="L21" s="5">
        <v>112</v>
      </c>
      <c r="M21" s="5">
        <v>0</v>
      </c>
      <c r="N21" s="5">
        <v>125</v>
      </c>
      <c r="O21">
        <v>5</v>
      </c>
      <c r="P21">
        <v>1</v>
      </c>
      <c r="Q21">
        <v>12</v>
      </c>
      <c r="R21">
        <v>51.195</v>
      </c>
    </row>
    <row r="22" spans="1:18" x14ac:dyDescent="0.45">
      <c r="A22" s="11" t="s">
        <v>24</v>
      </c>
      <c r="B22" s="11">
        <v>2024</v>
      </c>
      <c r="C22" s="13">
        <v>45325</v>
      </c>
      <c r="D22" s="11" t="s">
        <v>10</v>
      </c>
      <c r="E22" s="5" t="s">
        <v>64</v>
      </c>
      <c r="F22" s="5" t="s">
        <v>49</v>
      </c>
      <c r="G22" s="19">
        <v>29.13150684931507</v>
      </c>
      <c r="H22" s="11">
        <v>3</v>
      </c>
      <c r="I22" s="5">
        <v>20</v>
      </c>
      <c r="J22" s="5">
        <v>32</v>
      </c>
      <c r="K22" s="5">
        <v>38</v>
      </c>
      <c r="L22" s="5">
        <v>90</v>
      </c>
      <c r="M22" s="5">
        <v>0</v>
      </c>
      <c r="N22" s="5">
        <v>100</v>
      </c>
      <c r="O22">
        <v>2</v>
      </c>
      <c r="P22">
        <v>2</v>
      </c>
      <c r="Q22">
        <v>13</v>
      </c>
      <c r="R22">
        <v>51.195</v>
      </c>
    </row>
    <row r="23" spans="1:18" x14ac:dyDescent="0.45">
      <c r="A23" s="12" t="s">
        <v>26</v>
      </c>
      <c r="B23" s="5">
        <v>2023</v>
      </c>
      <c r="C23" s="32">
        <v>45147</v>
      </c>
      <c r="D23" s="5" t="s">
        <v>14</v>
      </c>
      <c r="E23" s="5" t="s">
        <v>64</v>
      </c>
      <c r="F23" s="5" t="s">
        <v>49</v>
      </c>
      <c r="G23" s="19">
        <v>28.643835616438356</v>
      </c>
      <c r="H23" s="5">
        <v>1</v>
      </c>
      <c r="I23" s="5">
        <v>38</v>
      </c>
      <c r="J23" s="5">
        <v>40</v>
      </c>
      <c r="K23" s="5">
        <v>38</v>
      </c>
      <c r="L23" s="5">
        <v>116</v>
      </c>
      <c r="M23" s="5">
        <v>20</v>
      </c>
      <c r="N23" s="5">
        <v>145</v>
      </c>
      <c r="O23">
        <v>3</v>
      </c>
      <c r="P23">
        <v>1</v>
      </c>
      <c r="Q23">
        <v>69</v>
      </c>
      <c r="R23">
        <v>57.765999999999998</v>
      </c>
    </row>
    <row r="24" spans="1:18" x14ac:dyDescent="0.45">
      <c r="A24" s="12" t="s">
        <v>26</v>
      </c>
      <c r="B24" s="5">
        <v>2023</v>
      </c>
      <c r="C24" s="32">
        <v>45147</v>
      </c>
      <c r="D24" s="5" t="s">
        <v>14</v>
      </c>
      <c r="E24" s="5" t="s">
        <v>90</v>
      </c>
      <c r="F24" s="5" t="s">
        <v>15</v>
      </c>
      <c r="G24" s="19">
        <v>27.227397260273971</v>
      </c>
      <c r="H24" s="5">
        <v>2</v>
      </c>
      <c r="I24" s="5">
        <v>32</v>
      </c>
      <c r="J24" s="5">
        <v>26</v>
      </c>
      <c r="K24" s="5">
        <v>30</v>
      </c>
      <c r="L24" s="5">
        <v>88</v>
      </c>
      <c r="M24" s="5">
        <v>40</v>
      </c>
      <c r="N24" s="5">
        <v>136</v>
      </c>
      <c r="O24">
        <v>4</v>
      </c>
      <c r="P24">
        <v>0</v>
      </c>
      <c r="Q24">
        <v>105</v>
      </c>
      <c r="R24">
        <v>57.765999999999998</v>
      </c>
    </row>
    <row r="25" spans="1:18" x14ac:dyDescent="0.45">
      <c r="A25" s="12" t="s">
        <v>26</v>
      </c>
      <c r="B25" s="5">
        <v>2023</v>
      </c>
      <c r="C25" s="32">
        <v>45147</v>
      </c>
      <c r="D25" s="5" t="s">
        <v>14</v>
      </c>
      <c r="E25" s="5" t="s">
        <v>76</v>
      </c>
      <c r="F25" s="5" t="s">
        <v>12</v>
      </c>
      <c r="G25" s="19">
        <v>27.764383561643836</v>
      </c>
      <c r="H25" s="5">
        <v>3</v>
      </c>
      <c r="I25" s="5">
        <v>30</v>
      </c>
      <c r="J25" s="5">
        <v>8</v>
      </c>
      <c r="K25" s="5">
        <v>40</v>
      </c>
      <c r="L25" s="5">
        <v>78</v>
      </c>
      <c r="M25" s="5">
        <v>40</v>
      </c>
      <c r="N25" s="5">
        <v>133</v>
      </c>
      <c r="O25">
        <v>4</v>
      </c>
      <c r="P25">
        <v>1</v>
      </c>
      <c r="Q25">
        <v>91</v>
      </c>
      <c r="R25">
        <v>57.765999999999998</v>
      </c>
    </row>
    <row r="26" spans="1:18" x14ac:dyDescent="0.45">
      <c r="A26" s="5" t="s">
        <v>20</v>
      </c>
      <c r="B26" s="7">
        <v>2023</v>
      </c>
      <c r="C26" s="8">
        <v>45039</v>
      </c>
      <c r="D26" s="7" t="s">
        <v>10</v>
      </c>
      <c r="E26" s="5" t="s">
        <v>65</v>
      </c>
      <c r="F26" s="5" t="s">
        <v>25</v>
      </c>
      <c r="G26" s="19">
        <v>29.134246575342466</v>
      </c>
      <c r="H26" s="5">
        <v>1</v>
      </c>
      <c r="I26" s="5">
        <v>40</v>
      </c>
      <c r="J26" s="5">
        <v>40</v>
      </c>
      <c r="K26" s="5">
        <v>40</v>
      </c>
      <c r="L26" s="5">
        <v>120</v>
      </c>
      <c r="M26" s="5">
        <v>0</v>
      </c>
      <c r="N26" s="5">
        <v>131</v>
      </c>
      <c r="O26">
        <v>3</v>
      </c>
      <c r="P26">
        <v>2</v>
      </c>
      <c r="Q26">
        <v>57</v>
      </c>
      <c r="R26">
        <v>55.283000000000001</v>
      </c>
    </row>
    <row r="27" spans="1:18" x14ac:dyDescent="0.45">
      <c r="A27" s="5" t="s">
        <v>20</v>
      </c>
      <c r="B27" s="7">
        <v>2023</v>
      </c>
      <c r="C27" s="8">
        <v>45039</v>
      </c>
      <c r="D27" s="7" t="s">
        <v>10</v>
      </c>
      <c r="E27" s="5" t="s">
        <v>115</v>
      </c>
      <c r="F27" s="5" t="s">
        <v>19</v>
      </c>
      <c r="G27" s="19">
        <v>25.167123287671235</v>
      </c>
      <c r="H27" s="5">
        <v>2</v>
      </c>
      <c r="I27" s="5">
        <v>38</v>
      </c>
      <c r="J27" s="5">
        <v>20</v>
      </c>
      <c r="K27" s="5">
        <v>36</v>
      </c>
      <c r="L27" s="5">
        <v>94</v>
      </c>
      <c r="M27" s="5">
        <v>0</v>
      </c>
      <c r="N27" s="5">
        <v>110</v>
      </c>
      <c r="O27">
        <v>3</v>
      </c>
      <c r="P27">
        <v>2</v>
      </c>
      <c r="Q27">
        <v>46</v>
      </c>
      <c r="R27">
        <v>55.283000000000001</v>
      </c>
    </row>
    <row r="28" spans="1:18" x14ac:dyDescent="0.45">
      <c r="A28" s="5" t="s">
        <v>20</v>
      </c>
      <c r="B28" s="7">
        <v>2023</v>
      </c>
      <c r="C28" s="8">
        <v>45039</v>
      </c>
      <c r="D28" s="7" t="s">
        <v>10</v>
      </c>
      <c r="E28" s="5" t="s">
        <v>64</v>
      </c>
      <c r="F28" s="5" t="s">
        <v>49</v>
      </c>
      <c r="G28" s="19">
        <v>28.347945205479451</v>
      </c>
      <c r="H28" s="5">
        <v>3</v>
      </c>
      <c r="I28" s="5">
        <v>36</v>
      </c>
      <c r="J28" s="5">
        <v>28</v>
      </c>
      <c r="K28" s="5">
        <v>34</v>
      </c>
      <c r="L28" s="5">
        <v>98</v>
      </c>
      <c r="M28" s="5">
        <v>0</v>
      </c>
      <c r="N28" s="5">
        <v>108</v>
      </c>
      <c r="O28">
        <v>3</v>
      </c>
      <c r="P28">
        <v>0</v>
      </c>
      <c r="Q28">
        <v>48</v>
      </c>
      <c r="R28">
        <v>55.283000000000001</v>
      </c>
    </row>
    <row r="29" spans="1:18" x14ac:dyDescent="0.45">
      <c r="A29" s="7" t="s">
        <v>28</v>
      </c>
      <c r="B29" s="7">
        <v>2023</v>
      </c>
      <c r="C29" s="8">
        <v>45002</v>
      </c>
      <c r="D29" s="7" t="s">
        <v>10</v>
      </c>
      <c r="E29" s="7" t="s">
        <v>67</v>
      </c>
      <c r="F29" s="7" t="s">
        <v>22</v>
      </c>
      <c r="G29" s="19">
        <v>22.210958904109589</v>
      </c>
      <c r="H29" s="7">
        <v>1</v>
      </c>
      <c r="I29" s="7">
        <v>40</v>
      </c>
      <c r="J29" s="7">
        <v>40</v>
      </c>
      <c r="K29" s="7">
        <v>20</v>
      </c>
      <c r="L29" s="7">
        <v>100</v>
      </c>
      <c r="M29" s="7">
        <v>20</v>
      </c>
      <c r="N29" s="7">
        <v>139</v>
      </c>
      <c r="O29">
        <v>4</v>
      </c>
      <c r="P29">
        <v>3</v>
      </c>
      <c r="Q29">
        <v>29</v>
      </c>
      <c r="R29">
        <v>54.25</v>
      </c>
    </row>
    <row r="30" spans="1:18" x14ac:dyDescent="0.45">
      <c r="A30" s="7" t="s">
        <v>28</v>
      </c>
      <c r="B30" s="7">
        <v>2023</v>
      </c>
      <c r="C30" s="8">
        <v>45002</v>
      </c>
      <c r="D30" s="7" t="s">
        <v>10</v>
      </c>
      <c r="E30" s="7" t="s">
        <v>91</v>
      </c>
      <c r="F30" s="7" t="s">
        <v>27</v>
      </c>
      <c r="G30" s="19">
        <v>22.597260273972601</v>
      </c>
      <c r="H30" s="7">
        <v>2</v>
      </c>
      <c r="I30" s="7">
        <v>30</v>
      </c>
      <c r="J30" s="7">
        <v>36</v>
      </c>
      <c r="K30" s="7">
        <v>40</v>
      </c>
      <c r="L30" s="7">
        <v>106</v>
      </c>
      <c r="M30" s="7">
        <v>20</v>
      </c>
      <c r="N30" s="7">
        <v>131</v>
      </c>
      <c r="O30">
        <v>3</v>
      </c>
      <c r="P30">
        <v>0</v>
      </c>
      <c r="Q30">
        <v>13</v>
      </c>
      <c r="R30">
        <v>54.25</v>
      </c>
    </row>
    <row r="31" spans="1:18" x14ac:dyDescent="0.45">
      <c r="A31" s="7" t="s">
        <v>28</v>
      </c>
      <c r="B31" s="7">
        <v>2023</v>
      </c>
      <c r="C31" s="8">
        <v>45002</v>
      </c>
      <c r="D31" s="7" t="s">
        <v>10</v>
      </c>
      <c r="E31" s="7" t="s">
        <v>90</v>
      </c>
      <c r="F31" s="7" t="s">
        <v>15</v>
      </c>
      <c r="G31" s="19">
        <v>26.830136986301369</v>
      </c>
      <c r="H31" s="7">
        <v>3</v>
      </c>
      <c r="I31" s="7">
        <v>36</v>
      </c>
      <c r="J31" s="7">
        <v>38</v>
      </c>
      <c r="K31" s="7">
        <v>32</v>
      </c>
      <c r="L31" s="7">
        <v>106</v>
      </c>
      <c r="M31" s="7">
        <v>0</v>
      </c>
      <c r="N31" s="7">
        <v>116</v>
      </c>
      <c r="O31">
        <v>1</v>
      </c>
      <c r="P31">
        <v>1</v>
      </c>
      <c r="Q31">
        <v>9</v>
      </c>
      <c r="R31">
        <v>54.25</v>
      </c>
    </row>
    <row r="32" spans="1:18" x14ac:dyDescent="0.45">
      <c r="A32" s="11" t="s">
        <v>29</v>
      </c>
      <c r="B32" s="11">
        <v>2023</v>
      </c>
      <c r="C32" s="13">
        <v>44983</v>
      </c>
      <c r="D32" s="11" t="s">
        <v>10</v>
      </c>
      <c r="E32" s="11" t="s">
        <v>67</v>
      </c>
      <c r="F32" s="11" t="s">
        <v>22</v>
      </c>
      <c r="G32" s="19">
        <v>22.158904109589042</v>
      </c>
      <c r="H32" s="11">
        <v>1</v>
      </c>
      <c r="I32" s="11">
        <v>40</v>
      </c>
      <c r="J32" s="11">
        <v>38</v>
      </c>
      <c r="K32" s="11">
        <v>40</v>
      </c>
      <c r="L32" s="11">
        <v>118</v>
      </c>
      <c r="M32" s="11">
        <v>20</v>
      </c>
      <c r="N32" s="11">
        <v>158</v>
      </c>
      <c r="O32">
        <v>3</v>
      </c>
      <c r="P32">
        <v>3</v>
      </c>
      <c r="Q32">
        <v>50</v>
      </c>
      <c r="R32">
        <v>53.411999999999999</v>
      </c>
    </row>
    <row r="33" spans="1:18" x14ac:dyDescent="0.45">
      <c r="A33" s="11" t="s">
        <v>29</v>
      </c>
      <c r="B33" s="11">
        <v>2023</v>
      </c>
      <c r="C33" s="13">
        <v>44983</v>
      </c>
      <c r="D33" s="11" t="s">
        <v>10</v>
      </c>
      <c r="E33" s="11" t="s">
        <v>69</v>
      </c>
      <c r="F33" s="11" t="s">
        <v>27</v>
      </c>
      <c r="G33" s="19">
        <v>24.139726027397259</v>
      </c>
      <c r="H33" s="11">
        <v>2</v>
      </c>
      <c r="I33" s="11">
        <v>30</v>
      </c>
      <c r="J33" s="11">
        <v>40</v>
      </c>
      <c r="K33" s="11">
        <v>38</v>
      </c>
      <c r="L33" s="11">
        <v>108</v>
      </c>
      <c r="M33" s="11">
        <v>20</v>
      </c>
      <c r="N33" s="11">
        <v>139</v>
      </c>
      <c r="O33">
        <v>4</v>
      </c>
      <c r="P33">
        <v>1</v>
      </c>
      <c r="Q33">
        <v>26</v>
      </c>
      <c r="R33">
        <v>53.411999999999999</v>
      </c>
    </row>
    <row r="34" spans="1:18" x14ac:dyDescent="0.45">
      <c r="A34" s="11" t="s">
        <v>29</v>
      </c>
      <c r="B34" s="11">
        <v>2023</v>
      </c>
      <c r="C34" s="13">
        <v>44983</v>
      </c>
      <c r="D34" s="11" t="s">
        <v>10</v>
      </c>
      <c r="E34" s="11" t="s">
        <v>107</v>
      </c>
      <c r="F34" s="11" t="s">
        <v>25</v>
      </c>
      <c r="G34" s="19">
        <v>32.594520547945208</v>
      </c>
      <c r="H34" s="11">
        <v>3</v>
      </c>
      <c r="I34" s="11">
        <v>38</v>
      </c>
      <c r="J34" s="11">
        <v>30</v>
      </c>
      <c r="K34" s="11">
        <v>30</v>
      </c>
      <c r="L34" s="11">
        <v>98</v>
      </c>
      <c r="M34" s="11">
        <v>20</v>
      </c>
      <c r="N34" s="11">
        <v>124</v>
      </c>
      <c r="O34">
        <v>3</v>
      </c>
      <c r="P34">
        <v>0</v>
      </c>
      <c r="Q34">
        <v>31</v>
      </c>
      <c r="R34">
        <v>53.411999999999999</v>
      </c>
    </row>
    <row r="35" spans="1:18" x14ac:dyDescent="0.45">
      <c r="A35" s="7" t="s">
        <v>16</v>
      </c>
      <c r="B35" s="7">
        <v>2022</v>
      </c>
      <c r="C35" s="8">
        <v>44849</v>
      </c>
      <c r="D35" s="7" t="s">
        <v>14</v>
      </c>
      <c r="E35" s="7" t="s">
        <v>64</v>
      </c>
      <c r="F35" s="7" t="s">
        <v>49</v>
      </c>
      <c r="G35" s="19">
        <v>27.827397260273973</v>
      </c>
      <c r="H35" s="7">
        <v>1</v>
      </c>
      <c r="I35" s="33">
        <v>40</v>
      </c>
      <c r="J35" s="33">
        <v>30</v>
      </c>
      <c r="K35" s="33">
        <v>40</v>
      </c>
      <c r="L35" s="33">
        <v>110</v>
      </c>
      <c r="M35" s="34">
        <v>0</v>
      </c>
      <c r="N35" s="35">
        <v>118</v>
      </c>
      <c r="O35">
        <v>3</v>
      </c>
      <c r="P35">
        <v>1</v>
      </c>
      <c r="Q35">
        <v>37</v>
      </c>
    </row>
    <row r="36" spans="1:18" x14ac:dyDescent="0.45">
      <c r="A36" s="7" t="s">
        <v>16</v>
      </c>
      <c r="B36" s="7">
        <v>2022</v>
      </c>
      <c r="C36" s="8">
        <v>44849</v>
      </c>
      <c r="D36" s="7" t="s">
        <v>14</v>
      </c>
      <c r="E36" s="7" t="s">
        <v>120</v>
      </c>
      <c r="F36" s="7" t="s">
        <v>11</v>
      </c>
      <c r="G36" s="19">
        <v>21.104109589041094</v>
      </c>
      <c r="H36" s="7">
        <v>2</v>
      </c>
      <c r="I36" s="33">
        <v>32</v>
      </c>
      <c r="J36" s="33">
        <v>40</v>
      </c>
      <c r="K36" s="33">
        <v>30</v>
      </c>
      <c r="L36" s="33">
        <v>102</v>
      </c>
      <c r="M36" s="34">
        <v>0</v>
      </c>
      <c r="N36" s="35">
        <v>109</v>
      </c>
      <c r="O36">
        <v>2</v>
      </c>
      <c r="P36">
        <v>1</v>
      </c>
      <c r="Q36">
        <v>31</v>
      </c>
    </row>
    <row r="37" spans="1:18" x14ac:dyDescent="0.45">
      <c r="A37" s="7" t="s">
        <v>16</v>
      </c>
      <c r="B37" s="7">
        <v>2022</v>
      </c>
      <c r="C37" s="8">
        <v>44849</v>
      </c>
      <c r="D37" s="7" t="s">
        <v>14</v>
      </c>
      <c r="E37" s="7" t="s">
        <v>94</v>
      </c>
      <c r="F37" s="7" t="s">
        <v>18</v>
      </c>
      <c r="G37" s="19">
        <v>23.284931506849315</v>
      </c>
      <c r="H37" s="7">
        <v>3</v>
      </c>
      <c r="I37" s="33">
        <v>26</v>
      </c>
      <c r="J37" s="33">
        <v>36</v>
      </c>
      <c r="K37" s="33">
        <v>34</v>
      </c>
      <c r="L37" s="33">
        <v>96</v>
      </c>
      <c r="M37" s="34">
        <v>0</v>
      </c>
      <c r="N37" s="35">
        <v>99</v>
      </c>
      <c r="O37">
        <v>2</v>
      </c>
      <c r="P37">
        <v>0</v>
      </c>
      <c r="Q37">
        <v>12</v>
      </c>
    </row>
    <row r="38" spans="1:18" x14ac:dyDescent="0.45">
      <c r="A38" s="11" t="s">
        <v>30</v>
      </c>
      <c r="B38" s="11">
        <v>2022</v>
      </c>
      <c r="C38" s="13">
        <v>44751</v>
      </c>
      <c r="D38" s="11" t="s">
        <v>10</v>
      </c>
      <c r="E38" s="11" t="s">
        <v>64</v>
      </c>
      <c r="F38" s="11" t="s">
        <v>49</v>
      </c>
      <c r="G38" s="19">
        <v>27.55890410958904</v>
      </c>
      <c r="H38" s="11">
        <v>1</v>
      </c>
      <c r="I38" s="5">
        <v>40</v>
      </c>
      <c r="J38" s="5">
        <v>40</v>
      </c>
      <c r="K38" s="5">
        <v>40</v>
      </c>
      <c r="L38" s="5">
        <v>120</v>
      </c>
      <c r="M38" s="11">
        <v>0</v>
      </c>
      <c r="N38" s="11">
        <v>137</v>
      </c>
      <c r="O38">
        <v>5</v>
      </c>
      <c r="P38">
        <v>2</v>
      </c>
      <c r="Q38">
        <v>40</v>
      </c>
      <c r="R38">
        <v>52.052999999999997</v>
      </c>
    </row>
    <row r="39" spans="1:18" x14ac:dyDescent="0.45">
      <c r="A39" s="11" t="s">
        <v>30</v>
      </c>
      <c r="B39" s="11">
        <v>2022</v>
      </c>
      <c r="C39" s="13">
        <v>44751</v>
      </c>
      <c r="D39" s="11" t="s">
        <v>10</v>
      </c>
      <c r="E39" s="11" t="s">
        <v>84</v>
      </c>
      <c r="F39" s="11" t="s">
        <v>31</v>
      </c>
      <c r="G39" s="19">
        <v>19.93972602739726</v>
      </c>
      <c r="H39" s="11">
        <v>2</v>
      </c>
      <c r="I39" s="5">
        <v>38</v>
      </c>
      <c r="J39" s="5">
        <v>38</v>
      </c>
      <c r="K39" s="5">
        <v>38</v>
      </c>
      <c r="L39" s="5">
        <v>114</v>
      </c>
      <c r="M39" s="11">
        <v>0</v>
      </c>
      <c r="N39" s="11">
        <v>117</v>
      </c>
      <c r="O39">
        <v>1</v>
      </c>
      <c r="P39">
        <v>0</v>
      </c>
      <c r="Q39">
        <v>30</v>
      </c>
      <c r="R39">
        <v>52.052999999999997</v>
      </c>
    </row>
    <row r="40" spans="1:18" x14ac:dyDescent="0.45">
      <c r="A40" s="11" t="s">
        <v>30</v>
      </c>
      <c r="B40" s="11">
        <v>2022</v>
      </c>
      <c r="C40" s="13">
        <v>44751</v>
      </c>
      <c r="D40" s="11" t="s">
        <v>10</v>
      </c>
      <c r="E40" s="11" t="s">
        <v>95</v>
      </c>
      <c r="F40" s="11" t="s">
        <v>60</v>
      </c>
      <c r="G40" s="19">
        <v>28.276712328767122</v>
      </c>
      <c r="H40" s="11">
        <v>3</v>
      </c>
      <c r="I40" s="5">
        <v>32</v>
      </c>
      <c r="J40" s="5">
        <v>36</v>
      </c>
      <c r="K40" s="5">
        <v>26</v>
      </c>
      <c r="L40" s="5">
        <v>94</v>
      </c>
      <c r="M40" s="11">
        <v>0</v>
      </c>
      <c r="N40" s="11">
        <v>111</v>
      </c>
      <c r="O40">
        <v>5</v>
      </c>
      <c r="P40">
        <v>1</v>
      </c>
      <c r="Q40">
        <v>11</v>
      </c>
      <c r="R40">
        <v>52.052999999999997</v>
      </c>
    </row>
    <row r="41" spans="1:18" x14ac:dyDescent="0.45">
      <c r="A41" s="7" t="s">
        <v>20</v>
      </c>
      <c r="B41" s="7">
        <v>2022</v>
      </c>
      <c r="C41" s="8">
        <v>44695</v>
      </c>
      <c r="D41" s="7" t="s">
        <v>10</v>
      </c>
      <c r="E41" s="7" t="s">
        <v>115</v>
      </c>
      <c r="F41" s="7" t="s">
        <v>19</v>
      </c>
      <c r="G41" s="19">
        <v>24.224657534246575</v>
      </c>
      <c r="H41" s="7">
        <v>1</v>
      </c>
      <c r="I41" s="7">
        <v>34</v>
      </c>
      <c r="J41" s="7">
        <v>34</v>
      </c>
      <c r="K41" s="7">
        <v>40</v>
      </c>
      <c r="L41" s="7">
        <v>108</v>
      </c>
      <c r="M41" s="7">
        <v>0</v>
      </c>
      <c r="N41" s="7">
        <v>116</v>
      </c>
      <c r="O41">
        <v>4</v>
      </c>
      <c r="P41">
        <v>0</v>
      </c>
      <c r="Q41">
        <v>45</v>
      </c>
      <c r="R41">
        <v>54.314999999999998</v>
      </c>
    </row>
    <row r="42" spans="1:18" x14ac:dyDescent="0.45">
      <c r="A42" s="7" t="s">
        <v>20</v>
      </c>
      <c r="B42" s="7">
        <v>2022</v>
      </c>
      <c r="C42" s="8">
        <v>44695</v>
      </c>
      <c r="D42" s="7" t="s">
        <v>10</v>
      </c>
      <c r="E42" s="7" t="s">
        <v>64</v>
      </c>
      <c r="F42" s="7" t="s">
        <v>49</v>
      </c>
      <c r="G42" s="19">
        <v>27.405479452054795</v>
      </c>
      <c r="H42" s="7">
        <v>2</v>
      </c>
      <c r="I42" s="7">
        <v>38</v>
      </c>
      <c r="J42" s="7">
        <v>30</v>
      </c>
      <c r="K42" s="7">
        <v>34</v>
      </c>
      <c r="L42" s="7">
        <v>102</v>
      </c>
      <c r="M42" s="7">
        <v>0</v>
      </c>
      <c r="N42" s="7">
        <v>108</v>
      </c>
      <c r="O42">
        <v>3</v>
      </c>
      <c r="P42">
        <v>1</v>
      </c>
      <c r="Q42">
        <v>26</v>
      </c>
      <c r="R42">
        <v>54.314999999999998</v>
      </c>
    </row>
    <row r="43" spans="1:18" x14ac:dyDescent="0.45">
      <c r="A43" s="7" t="s">
        <v>20</v>
      </c>
      <c r="B43" s="7">
        <v>2022</v>
      </c>
      <c r="C43" s="8">
        <v>44695</v>
      </c>
      <c r="D43" s="7" t="s">
        <v>10</v>
      </c>
      <c r="E43" s="7" t="s">
        <v>97</v>
      </c>
      <c r="F43" s="7" t="s">
        <v>39</v>
      </c>
      <c r="G43" s="19">
        <v>26.224657534246575</v>
      </c>
      <c r="H43" s="7">
        <v>3</v>
      </c>
      <c r="I43" s="7">
        <v>22</v>
      </c>
      <c r="J43" s="7">
        <v>36</v>
      </c>
      <c r="K43" s="7">
        <v>36</v>
      </c>
      <c r="L43" s="7">
        <v>94</v>
      </c>
      <c r="M43" s="7">
        <v>0</v>
      </c>
      <c r="N43" s="7">
        <v>101</v>
      </c>
      <c r="O43">
        <v>5</v>
      </c>
      <c r="P43">
        <v>0</v>
      </c>
      <c r="Q43">
        <v>21</v>
      </c>
      <c r="R43">
        <v>54.314999999999998</v>
      </c>
    </row>
    <row r="44" spans="1:18" x14ac:dyDescent="0.45">
      <c r="A44" s="11" t="s">
        <v>26</v>
      </c>
      <c r="B44" s="11">
        <v>2022</v>
      </c>
      <c r="C44" s="13">
        <v>44674</v>
      </c>
      <c r="D44" s="11" t="s">
        <v>10</v>
      </c>
      <c r="E44" s="11" t="s">
        <v>66</v>
      </c>
      <c r="F44" s="11" t="s">
        <v>23</v>
      </c>
      <c r="G44" s="19">
        <v>25.052054794520547</v>
      </c>
      <c r="H44" s="11">
        <v>1</v>
      </c>
      <c r="I44" s="11">
        <v>18</v>
      </c>
      <c r="J44" s="11">
        <v>36</v>
      </c>
      <c r="K44" s="11">
        <v>38</v>
      </c>
      <c r="L44" s="11">
        <v>92</v>
      </c>
      <c r="M44" s="11">
        <v>0</v>
      </c>
      <c r="N44" s="11">
        <v>101</v>
      </c>
      <c r="O44">
        <v>4</v>
      </c>
      <c r="P44">
        <v>0</v>
      </c>
      <c r="Q44">
        <v>39</v>
      </c>
      <c r="R44">
        <v>54.281999999999996</v>
      </c>
    </row>
    <row r="45" spans="1:18" x14ac:dyDescent="0.45">
      <c r="A45" s="11" t="s">
        <v>26</v>
      </c>
      <c r="B45" s="11">
        <v>2022</v>
      </c>
      <c r="C45" s="13">
        <v>44674</v>
      </c>
      <c r="D45" s="11" t="s">
        <v>10</v>
      </c>
      <c r="E45" s="11" t="s">
        <v>120</v>
      </c>
      <c r="F45" s="11" t="s">
        <v>11</v>
      </c>
      <c r="G45" s="19">
        <v>20.624657534246577</v>
      </c>
      <c r="H45" s="11">
        <v>2</v>
      </c>
      <c r="I45" s="11">
        <v>26</v>
      </c>
      <c r="J45" s="11">
        <v>34</v>
      </c>
      <c r="K45" s="11">
        <v>36</v>
      </c>
      <c r="L45" s="11">
        <v>96</v>
      </c>
      <c r="M45" s="11">
        <v>0</v>
      </c>
      <c r="N45" s="11">
        <v>99</v>
      </c>
      <c r="O45">
        <v>2</v>
      </c>
      <c r="P45">
        <v>0</v>
      </c>
      <c r="Q45">
        <v>34</v>
      </c>
      <c r="R45">
        <v>54.281999999999996</v>
      </c>
    </row>
    <row r="46" spans="1:18" x14ac:dyDescent="0.45">
      <c r="A46" s="11" t="s">
        <v>26</v>
      </c>
      <c r="B46" s="11">
        <v>2022</v>
      </c>
      <c r="C46" s="13">
        <v>44674</v>
      </c>
      <c r="D46" s="11" t="s">
        <v>10</v>
      </c>
      <c r="E46" s="11" t="s">
        <v>76</v>
      </c>
      <c r="F46" s="11" t="s">
        <v>12</v>
      </c>
      <c r="G46" s="19">
        <v>26.468493150684932</v>
      </c>
      <c r="H46" s="11">
        <v>3</v>
      </c>
      <c r="I46" s="11">
        <v>34</v>
      </c>
      <c r="J46" s="11">
        <v>16</v>
      </c>
      <c r="K46" s="11">
        <v>32</v>
      </c>
      <c r="L46" s="11">
        <v>82</v>
      </c>
      <c r="M46" s="11">
        <v>0</v>
      </c>
      <c r="N46" s="11">
        <v>97</v>
      </c>
      <c r="O46">
        <v>2</v>
      </c>
      <c r="P46">
        <v>2</v>
      </c>
      <c r="Q46">
        <v>10</v>
      </c>
      <c r="R46">
        <v>54.281999999999996</v>
      </c>
    </row>
    <row r="47" spans="1:18" x14ac:dyDescent="0.45">
      <c r="A47" s="7" t="s">
        <v>33</v>
      </c>
      <c r="B47" s="7">
        <v>2021</v>
      </c>
      <c r="C47" s="8">
        <v>44491</v>
      </c>
      <c r="D47" s="7" t="s">
        <v>14</v>
      </c>
      <c r="E47" s="7" t="s">
        <v>65</v>
      </c>
      <c r="F47" s="7" t="s">
        <v>25</v>
      </c>
      <c r="G47" s="19">
        <v>27.632876712328766</v>
      </c>
      <c r="H47" s="7">
        <v>1</v>
      </c>
      <c r="I47" s="7">
        <v>40</v>
      </c>
      <c r="J47" s="7">
        <v>40</v>
      </c>
      <c r="K47" s="7">
        <v>40</v>
      </c>
      <c r="L47" s="7">
        <v>120</v>
      </c>
      <c r="M47" s="7">
        <v>0</v>
      </c>
      <c r="N47" s="7">
        <v>137</v>
      </c>
      <c r="O47">
        <v>4</v>
      </c>
      <c r="P47">
        <v>2</v>
      </c>
      <c r="Q47">
        <v>66</v>
      </c>
      <c r="R47">
        <v>54.216999999999999</v>
      </c>
    </row>
    <row r="48" spans="1:18" x14ac:dyDescent="0.45">
      <c r="A48" s="7" t="s">
        <v>33</v>
      </c>
      <c r="B48" s="7">
        <v>2021</v>
      </c>
      <c r="C48" s="8">
        <v>44491</v>
      </c>
      <c r="D48" s="7" t="s">
        <v>14</v>
      </c>
      <c r="E48" s="7" t="s">
        <v>76</v>
      </c>
      <c r="F48" s="7" t="s">
        <v>12</v>
      </c>
      <c r="G48" s="19">
        <v>25.967123287671232</v>
      </c>
      <c r="H48" s="7">
        <v>2</v>
      </c>
      <c r="I48" s="7">
        <v>1</v>
      </c>
      <c r="J48" s="7">
        <v>36</v>
      </c>
      <c r="K48" s="7">
        <v>34</v>
      </c>
      <c r="L48" s="7">
        <v>71</v>
      </c>
      <c r="M48" s="7">
        <v>40</v>
      </c>
      <c r="N48" s="7">
        <v>119</v>
      </c>
      <c r="O48">
        <v>2</v>
      </c>
      <c r="P48">
        <v>1</v>
      </c>
      <c r="Q48">
        <v>16</v>
      </c>
      <c r="R48">
        <v>54.216999999999999</v>
      </c>
    </row>
    <row r="49" spans="1:18" x14ac:dyDescent="0.45">
      <c r="A49" s="7" t="s">
        <v>33</v>
      </c>
      <c r="B49" s="7">
        <v>2021</v>
      </c>
      <c r="C49" s="8">
        <v>44491</v>
      </c>
      <c r="D49" s="7" t="s">
        <v>14</v>
      </c>
      <c r="E49" s="7" t="s">
        <v>115</v>
      </c>
      <c r="F49" s="7" t="s">
        <v>19</v>
      </c>
      <c r="G49" s="19">
        <v>23.665753424657535</v>
      </c>
      <c r="H49" s="7">
        <v>3</v>
      </c>
      <c r="I49" s="7">
        <v>30</v>
      </c>
      <c r="J49" s="7">
        <v>32</v>
      </c>
      <c r="K49" s="7">
        <v>38</v>
      </c>
      <c r="L49" s="7">
        <v>100</v>
      </c>
      <c r="M49" s="7">
        <v>0</v>
      </c>
      <c r="N49" s="7">
        <v>116</v>
      </c>
      <c r="O49">
        <v>5</v>
      </c>
      <c r="P49">
        <v>1</v>
      </c>
      <c r="Q49">
        <v>35</v>
      </c>
      <c r="R49">
        <v>54.216999999999999</v>
      </c>
    </row>
    <row r="50" spans="1:18" x14ac:dyDescent="0.45">
      <c r="A50" s="11" t="s">
        <v>30</v>
      </c>
      <c r="B50" s="11">
        <v>2021</v>
      </c>
      <c r="C50" s="13">
        <v>44450</v>
      </c>
      <c r="D50" s="11" t="s">
        <v>10</v>
      </c>
      <c r="E50" s="11" t="s">
        <v>70</v>
      </c>
      <c r="F50" s="11" t="s">
        <v>52</v>
      </c>
      <c r="G50" s="19">
        <v>24.695890410958903</v>
      </c>
      <c r="H50" s="11">
        <v>1</v>
      </c>
      <c r="I50" s="11">
        <v>40</v>
      </c>
      <c r="J50" s="11">
        <v>36</v>
      </c>
      <c r="K50" s="11">
        <v>40</v>
      </c>
      <c r="L50" s="11">
        <v>116</v>
      </c>
      <c r="M50" s="11">
        <v>0</v>
      </c>
      <c r="N50" s="11">
        <v>147</v>
      </c>
      <c r="O50">
        <v>8</v>
      </c>
      <c r="P50">
        <v>3</v>
      </c>
      <c r="Q50">
        <v>18</v>
      </c>
      <c r="R50">
        <v>50.137999999999998</v>
      </c>
    </row>
    <row r="51" spans="1:18" x14ac:dyDescent="0.45">
      <c r="A51" s="11" t="s">
        <v>30</v>
      </c>
      <c r="B51" s="11">
        <v>2021</v>
      </c>
      <c r="C51" s="13">
        <v>44450</v>
      </c>
      <c r="D51" s="11" t="s">
        <v>10</v>
      </c>
      <c r="E51" s="11" t="s">
        <v>121</v>
      </c>
      <c r="F51" s="11" t="s">
        <v>61</v>
      </c>
      <c r="G51" s="19">
        <v>27.364383561643837</v>
      </c>
      <c r="H51" s="11">
        <v>2</v>
      </c>
      <c r="I51" s="11">
        <v>36</v>
      </c>
      <c r="J51" s="11">
        <v>26</v>
      </c>
      <c r="K51" s="11">
        <v>38</v>
      </c>
      <c r="L51" s="11">
        <v>100</v>
      </c>
      <c r="M51" s="11">
        <v>0</v>
      </c>
      <c r="N51" s="11">
        <v>118</v>
      </c>
      <c r="O51">
        <v>3</v>
      </c>
      <c r="P51">
        <v>2</v>
      </c>
      <c r="Q51">
        <v>16</v>
      </c>
      <c r="R51">
        <v>50.137999999999998</v>
      </c>
    </row>
    <row r="52" spans="1:18" x14ac:dyDescent="0.45">
      <c r="A52" s="11" t="s">
        <v>30</v>
      </c>
      <c r="B52" s="11">
        <v>2021</v>
      </c>
      <c r="C52" s="13">
        <v>44450</v>
      </c>
      <c r="D52" s="11" t="s">
        <v>10</v>
      </c>
      <c r="E52" s="11" t="s">
        <v>85</v>
      </c>
      <c r="F52" s="11" t="s">
        <v>32</v>
      </c>
      <c r="G52" s="19">
        <v>22.701369863013699</v>
      </c>
      <c r="H52" s="11">
        <v>3</v>
      </c>
      <c r="I52" s="11">
        <v>34</v>
      </c>
      <c r="J52" s="11">
        <v>40</v>
      </c>
      <c r="K52" s="11">
        <v>36</v>
      </c>
      <c r="L52" s="11">
        <v>110</v>
      </c>
      <c r="M52" s="11">
        <v>0</v>
      </c>
      <c r="N52" s="11">
        <v>116</v>
      </c>
      <c r="O52">
        <v>4</v>
      </c>
      <c r="P52">
        <v>0</v>
      </c>
      <c r="Q52">
        <v>39</v>
      </c>
      <c r="R52">
        <v>50.137999999999998</v>
      </c>
    </row>
    <row r="53" spans="1:18" x14ac:dyDescent="0.45">
      <c r="A53" s="11" t="s">
        <v>34</v>
      </c>
      <c r="B53" s="7">
        <v>2021</v>
      </c>
      <c r="C53" s="8">
        <v>44416</v>
      </c>
      <c r="D53" s="7" t="s">
        <v>17</v>
      </c>
      <c r="E53" s="4" t="s">
        <v>64</v>
      </c>
      <c r="F53" s="4" t="s">
        <v>49</v>
      </c>
      <c r="G53" s="19">
        <v>26.641095890410959</v>
      </c>
      <c r="H53" s="14">
        <v>1</v>
      </c>
      <c r="I53" s="4">
        <v>40</v>
      </c>
      <c r="J53" s="4">
        <v>36</v>
      </c>
      <c r="K53" s="4">
        <v>34</v>
      </c>
      <c r="L53" s="4">
        <v>110</v>
      </c>
      <c r="M53" s="4">
        <v>0</v>
      </c>
      <c r="N53" s="4">
        <v>124</v>
      </c>
      <c r="O53">
        <v>3</v>
      </c>
      <c r="P53">
        <v>1</v>
      </c>
      <c r="Q53">
        <v>39</v>
      </c>
      <c r="R53">
        <v>55.107999999999997</v>
      </c>
    </row>
    <row r="54" spans="1:18" x14ac:dyDescent="0.45">
      <c r="A54" s="11" t="s">
        <v>34</v>
      </c>
      <c r="B54" s="7">
        <v>2021</v>
      </c>
      <c r="C54" s="8">
        <v>44416</v>
      </c>
      <c r="D54" s="7" t="s">
        <v>17</v>
      </c>
      <c r="E54" s="4" t="s">
        <v>66</v>
      </c>
      <c r="F54" s="4" t="s">
        <v>23</v>
      </c>
      <c r="G54" s="19">
        <v>24.345205479452055</v>
      </c>
      <c r="H54" s="14">
        <v>2</v>
      </c>
      <c r="I54" s="4">
        <v>38</v>
      </c>
      <c r="J54" s="4">
        <v>32</v>
      </c>
      <c r="K54" s="4">
        <v>38</v>
      </c>
      <c r="L54" s="4">
        <v>108</v>
      </c>
      <c r="M54" s="4">
        <v>0</v>
      </c>
      <c r="N54" s="4">
        <v>110</v>
      </c>
      <c r="O54">
        <v>1</v>
      </c>
      <c r="P54">
        <v>0</v>
      </c>
      <c r="Q54">
        <v>51</v>
      </c>
      <c r="R54">
        <v>55.107999999999997</v>
      </c>
    </row>
    <row r="55" spans="1:18" x14ac:dyDescent="0.45">
      <c r="A55" s="11" t="s">
        <v>34</v>
      </c>
      <c r="B55" s="7">
        <v>2021</v>
      </c>
      <c r="C55" s="8">
        <v>44416</v>
      </c>
      <c r="D55" s="7" t="s">
        <v>17</v>
      </c>
      <c r="E55" s="4" t="s">
        <v>78</v>
      </c>
      <c r="F55" s="4" t="s">
        <v>11</v>
      </c>
      <c r="G55" s="19">
        <v>38.841095890410962</v>
      </c>
      <c r="H55" s="14">
        <v>3</v>
      </c>
      <c r="I55" s="4">
        <v>32</v>
      </c>
      <c r="J55" s="4">
        <v>38</v>
      </c>
      <c r="K55" s="4">
        <v>20</v>
      </c>
      <c r="L55" s="4">
        <v>90</v>
      </c>
      <c r="M55" s="4">
        <v>0</v>
      </c>
      <c r="N55" s="4">
        <v>108</v>
      </c>
      <c r="O55">
        <v>5</v>
      </c>
      <c r="P55">
        <v>2</v>
      </c>
      <c r="Q55">
        <v>42</v>
      </c>
      <c r="R55">
        <v>55.107999999999997</v>
      </c>
    </row>
    <row r="56" spans="1:18" x14ac:dyDescent="0.45">
      <c r="A56" s="7" t="s">
        <v>35</v>
      </c>
      <c r="B56" s="7">
        <v>2021</v>
      </c>
      <c r="C56" s="8">
        <v>44387</v>
      </c>
      <c r="D56" s="7" t="s">
        <v>10</v>
      </c>
      <c r="E56" s="7" t="s">
        <v>94</v>
      </c>
      <c r="F56" s="7" t="s">
        <v>18</v>
      </c>
      <c r="G56" s="19">
        <v>22.019178082191782</v>
      </c>
      <c r="H56" s="7">
        <v>1</v>
      </c>
      <c r="I56" s="7">
        <v>38</v>
      </c>
      <c r="J56" s="7">
        <v>36</v>
      </c>
      <c r="K56" s="7">
        <v>40</v>
      </c>
      <c r="L56" s="7">
        <v>114</v>
      </c>
      <c r="M56" s="7">
        <v>0</v>
      </c>
      <c r="N56" s="7">
        <v>131</v>
      </c>
      <c r="O56">
        <v>7</v>
      </c>
      <c r="P56">
        <v>0</v>
      </c>
      <c r="Q56">
        <v>75</v>
      </c>
      <c r="R56">
        <v>51.48</v>
      </c>
    </row>
    <row r="57" spans="1:18" x14ac:dyDescent="0.45">
      <c r="A57" s="7" t="s">
        <v>35</v>
      </c>
      <c r="B57" s="7">
        <v>2021</v>
      </c>
      <c r="C57" s="8">
        <v>44387</v>
      </c>
      <c r="D57" s="7" t="s">
        <v>10</v>
      </c>
      <c r="E57" s="7" t="s">
        <v>99</v>
      </c>
      <c r="F57" s="7" t="s">
        <v>100</v>
      </c>
      <c r="G57" s="19">
        <v>26.610958904109587</v>
      </c>
      <c r="H57" s="7">
        <v>2</v>
      </c>
      <c r="I57" s="7">
        <v>30</v>
      </c>
      <c r="J57" s="7">
        <v>40</v>
      </c>
      <c r="K57" s="7">
        <v>36</v>
      </c>
      <c r="L57" s="7">
        <v>106</v>
      </c>
      <c r="M57" s="7">
        <v>0</v>
      </c>
      <c r="N57" s="7">
        <v>117</v>
      </c>
      <c r="O57">
        <v>4</v>
      </c>
      <c r="P57">
        <v>1</v>
      </c>
      <c r="Q57">
        <v>50</v>
      </c>
      <c r="R57">
        <v>51.48</v>
      </c>
    </row>
    <row r="58" spans="1:18" x14ac:dyDescent="0.45">
      <c r="A58" s="7" t="s">
        <v>35</v>
      </c>
      <c r="B58" s="7">
        <v>2021</v>
      </c>
      <c r="C58" s="8">
        <v>44387</v>
      </c>
      <c r="D58" s="7" t="s">
        <v>10</v>
      </c>
      <c r="E58" s="7" t="s">
        <v>83</v>
      </c>
      <c r="F58" s="7" t="s">
        <v>51</v>
      </c>
      <c r="G58" s="19">
        <v>20.232876712328768</v>
      </c>
      <c r="H58" s="7">
        <v>3</v>
      </c>
      <c r="I58" s="7">
        <v>32</v>
      </c>
      <c r="J58" s="7">
        <v>38</v>
      </c>
      <c r="K58" s="7">
        <v>26</v>
      </c>
      <c r="L58" s="7">
        <v>96</v>
      </c>
      <c r="M58" s="7">
        <v>0</v>
      </c>
      <c r="N58" s="7">
        <v>110</v>
      </c>
      <c r="O58">
        <v>6</v>
      </c>
      <c r="P58">
        <v>1</v>
      </c>
      <c r="Q58">
        <v>50</v>
      </c>
      <c r="R58">
        <v>51.48</v>
      </c>
    </row>
    <row r="59" spans="1:18" x14ac:dyDescent="0.45">
      <c r="A59" s="11" t="s">
        <v>37</v>
      </c>
      <c r="B59" s="11">
        <v>2020</v>
      </c>
      <c r="C59" s="13">
        <v>43889</v>
      </c>
      <c r="D59" s="11" t="s">
        <v>14</v>
      </c>
      <c r="E59" s="11" t="s">
        <v>66</v>
      </c>
      <c r="F59" s="11" t="s">
        <v>23</v>
      </c>
      <c r="G59" s="19">
        <v>22.901369863013699</v>
      </c>
      <c r="H59" s="11">
        <v>1</v>
      </c>
      <c r="I59" s="11">
        <v>40</v>
      </c>
      <c r="J59" s="11">
        <v>38</v>
      </c>
      <c r="K59" s="11">
        <v>36</v>
      </c>
      <c r="L59" s="11">
        <v>114</v>
      </c>
      <c r="M59" s="11">
        <v>0</v>
      </c>
      <c r="N59" s="11">
        <v>121</v>
      </c>
      <c r="O59">
        <v>2</v>
      </c>
      <c r="P59">
        <v>1</v>
      </c>
      <c r="Q59">
        <v>46</v>
      </c>
      <c r="R59">
        <v>54.576000000000001</v>
      </c>
    </row>
    <row r="60" spans="1:18" x14ac:dyDescent="0.45">
      <c r="A60" s="11" t="s">
        <v>37</v>
      </c>
      <c r="B60" s="11">
        <v>2020</v>
      </c>
      <c r="C60" s="13">
        <v>43889</v>
      </c>
      <c r="D60" s="11" t="s">
        <v>14</v>
      </c>
      <c r="E60" s="11" t="s">
        <v>77</v>
      </c>
      <c r="F60" s="11" t="s">
        <v>19</v>
      </c>
      <c r="G60" s="19">
        <v>20.61917808219178</v>
      </c>
      <c r="H60" s="11">
        <v>2</v>
      </c>
      <c r="I60" s="11">
        <v>32</v>
      </c>
      <c r="J60" s="11">
        <v>24</v>
      </c>
      <c r="K60" s="11">
        <v>38</v>
      </c>
      <c r="L60" s="11">
        <v>94</v>
      </c>
      <c r="M60" s="11">
        <v>0</v>
      </c>
      <c r="N60" s="11">
        <v>109</v>
      </c>
      <c r="O60">
        <v>4</v>
      </c>
      <c r="P60">
        <v>1</v>
      </c>
      <c r="Q60">
        <v>31</v>
      </c>
      <c r="R60">
        <v>54.576000000000001</v>
      </c>
    </row>
    <row r="61" spans="1:18" x14ac:dyDescent="0.45">
      <c r="A61" s="11" t="s">
        <v>37</v>
      </c>
      <c r="B61" s="11">
        <v>2020</v>
      </c>
      <c r="C61" s="13">
        <v>43889</v>
      </c>
      <c r="D61" s="11" t="s">
        <v>14</v>
      </c>
      <c r="E61" s="11" t="s">
        <v>70</v>
      </c>
      <c r="F61" s="11" t="s">
        <v>52</v>
      </c>
      <c r="G61" s="19">
        <v>23.158904109589042</v>
      </c>
      <c r="H61" s="11">
        <v>3</v>
      </c>
      <c r="I61" s="11">
        <v>30</v>
      </c>
      <c r="J61" s="11">
        <v>30</v>
      </c>
      <c r="K61" s="11">
        <v>26</v>
      </c>
      <c r="L61" s="11">
        <v>86</v>
      </c>
      <c r="M61" s="11">
        <v>0</v>
      </c>
      <c r="N61" s="11">
        <v>100</v>
      </c>
      <c r="O61">
        <v>3</v>
      </c>
      <c r="P61">
        <v>1</v>
      </c>
      <c r="Q61">
        <v>31</v>
      </c>
      <c r="R61">
        <v>54.576000000000001</v>
      </c>
    </row>
    <row r="62" spans="1:18" x14ac:dyDescent="0.45">
      <c r="A62" s="14" t="s">
        <v>20</v>
      </c>
      <c r="B62" s="7">
        <v>2020</v>
      </c>
      <c r="C62" s="8">
        <v>43856</v>
      </c>
      <c r="D62" s="7" t="s">
        <v>10</v>
      </c>
      <c r="E62" s="4" t="s">
        <v>64</v>
      </c>
      <c r="F62" s="4" t="s">
        <v>49</v>
      </c>
      <c r="G62" s="19">
        <v>25.106849315068494</v>
      </c>
      <c r="H62" s="14">
        <v>1</v>
      </c>
      <c r="I62" s="4">
        <v>36</v>
      </c>
      <c r="J62" s="4">
        <v>32</v>
      </c>
      <c r="K62" s="4">
        <v>40</v>
      </c>
      <c r="L62" s="4">
        <v>108</v>
      </c>
      <c r="M62" s="4">
        <v>0</v>
      </c>
      <c r="N62" s="4">
        <v>134</v>
      </c>
      <c r="O62">
        <v>6</v>
      </c>
      <c r="P62">
        <v>4</v>
      </c>
      <c r="Q62">
        <v>34</v>
      </c>
      <c r="R62">
        <v>53.93</v>
      </c>
    </row>
    <row r="63" spans="1:18" x14ac:dyDescent="0.45">
      <c r="A63" s="14" t="s">
        <v>20</v>
      </c>
      <c r="B63" s="7">
        <v>2020</v>
      </c>
      <c r="C63" s="8">
        <v>43856</v>
      </c>
      <c r="D63" s="7" t="s">
        <v>10</v>
      </c>
      <c r="E63" s="4" t="s">
        <v>77</v>
      </c>
      <c r="F63" s="4" t="s">
        <v>19</v>
      </c>
      <c r="G63" s="19">
        <v>20.528767123287672</v>
      </c>
      <c r="H63" s="14">
        <v>2</v>
      </c>
      <c r="I63" s="4">
        <v>38</v>
      </c>
      <c r="J63" s="4">
        <v>28</v>
      </c>
      <c r="K63" s="4">
        <v>38</v>
      </c>
      <c r="L63" s="4">
        <v>104</v>
      </c>
      <c r="M63" s="4">
        <v>0</v>
      </c>
      <c r="N63" s="4">
        <v>114</v>
      </c>
      <c r="O63">
        <v>4</v>
      </c>
      <c r="P63">
        <v>0</v>
      </c>
      <c r="Q63">
        <v>51</v>
      </c>
      <c r="R63">
        <v>53.93</v>
      </c>
    </row>
    <row r="64" spans="1:18" x14ac:dyDescent="0.45">
      <c r="A64" s="14" t="s">
        <v>20</v>
      </c>
      <c r="B64" s="7">
        <v>2020</v>
      </c>
      <c r="C64" s="8">
        <v>43856</v>
      </c>
      <c r="D64" s="7" t="s">
        <v>10</v>
      </c>
      <c r="E64" s="4" t="s">
        <v>102</v>
      </c>
      <c r="F64" s="4" t="s">
        <v>51</v>
      </c>
      <c r="G64" s="19">
        <v>24.402739726027399</v>
      </c>
      <c r="H64" s="14">
        <v>3</v>
      </c>
      <c r="I64" s="4">
        <v>32</v>
      </c>
      <c r="J64" s="4">
        <v>40</v>
      </c>
      <c r="K64" s="4">
        <v>26</v>
      </c>
      <c r="L64" s="4">
        <v>98</v>
      </c>
      <c r="M64" s="4">
        <v>0</v>
      </c>
      <c r="N64" s="4">
        <v>102</v>
      </c>
      <c r="O64">
        <v>2</v>
      </c>
      <c r="P64">
        <v>0</v>
      </c>
      <c r="Q64">
        <v>28</v>
      </c>
      <c r="R64">
        <v>53.93</v>
      </c>
    </row>
    <row r="65" spans="1:18" x14ac:dyDescent="0.45">
      <c r="A65" s="11" t="s">
        <v>38</v>
      </c>
      <c r="B65" s="11">
        <v>2019</v>
      </c>
      <c r="C65" s="13">
        <v>43814</v>
      </c>
      <c r="D65" s="11" t="s">
        <v>10</v>
      </c>
      <c r="E65" s="11" t="s">
        <v>64</v>
      </c>
      <c r="F65" s="11" t="s">
        <v>49</v>
      </c>
      <c r="G65" s="19">
        <v>24.991780821917807</v>
      </c>
      <c r="H65" s="11">
        <v>1</v>
      </c>
      <c r="I65" s="11">
        <v>38</v>
      </c>
      <c r="J65" s="11">
        <v>40</v>
      </c>
      <c r="K65" s="11">
        <v>40</v>
      </c>
      <c r="L65" s="11">
        <v>118</v>
      </c>
      <c r="M65" s="11">
        <v>0</v>
      </c>
      <c r="N65" s="11">
        <v>139</v>
      </c>
      <c r="O65">
        <v>5</v>
      </c>
      <c r="P65">
        <v>4</v>
      </c>
      <c r="Q65">
        <v>38</v>
      </c>
      <c r="R65">
        <v>53.168999999999997</v>
      </c>
    </row>
    <row r="66" spans="1:18" x14ac:dyDescent="0.45">
      <c r="A66" s="11" t="s">
        <v>38</v>
      </c>
      <c r="B66" s="11">
        <v>2019</v>
      </c>
      <c r="C66" s="13">
        <v>43814</v>
      </c>
      <c r="D66" s="11" t="s">
        <v>10</v>
      </c>
      <c r="E66" s="11" t="s">
        <v>105</v>
      </c>
      <c r="F66" s="11" t="s">
        <v>50</v>
      </c>
      <c r="G66" s="19">
        <v>26.556164383561644</v>
      </c>
      <c r="H66" s="11">
        <v>2</v>
      </c>
      <c r="I66" s="11">
        <v>34</v>
      </c>
      <c r="J66" s="11">
        <v>38</v>
      </c>
      <c r="K66" s="11">
        <v>38</v>
      </c>
      <c r="L66" s="11">
        <v>110</v>
      </c>
      <c r="M66" s="11">
        <v>0</v>
      </c>
      <c r="N66" s="11">
        <v>127</v>
      </c>
      <c r="O66">
        <v>6</v>
      </c>
      <c r="P66">
        <v>1</v>
      </c>
      <c r="Q66">
        <v>26</v>
      </c>
      <c r="R66">
        <v>53.168999999999997</v>
      </c>
    </row>
    <row r="67" spans="1:18" x14ac:dyDescent="0.45">
      <c r="A67" s="11" t="s">
        <v>38</v>
      </c>
      <c r="B67" s="11">
        <v>2019</v>
      </c>
      <c r="C67" s="13">
        <v>43814</v>
      </c>
      <c r="D67" s="11" t="s">
        <v>10</v>
      </c>
      <c r="E67" s="11" t="s">
        <v>122</v>
      </c>
      <c r="F67" s="11" t="s">
        <v>22</v>
      </c>
      <c r="G67" s="19">
        <v>23.041095890410958</v>
      </c>
      <c r="H67" s="11">
        <v>3</v>
      </c>
      <c r="I67" s="11">
        <v>28</v>
      </c>
      <c r="J67" s="11">
        <v>34</v>
      </c>
      <c r="K67" s="11">
        <v>30</v>
      </c>
      <c r="L67" s="11">
        <v>92</v>
      </c>
      <c r="M67" s="11">
        <v>0</v>
      </c>
      <c r="N67" s="11">
        <v>100</v>
      </c>
      <c r="O67">
        <v>4</v>
      </c>
      <c r="P67">
        <v>0</v>
      </c>
      <c r="Q67">
        <v>11</v>
      </c>
      <c r="R67">
        <v>53.168999999999997</v>
      </c>
    </row>
    <row r="68" spans="1:18" x14ac:dyDescent="0.45">
      <c r="A68" s="7" t="s">
        <v>40</v>
      </c>
      <c r="B68" s="14">
        <v>2019</v>
      </c>
      <c r="C68" s="16">
        <v>43807</v>
      </c>
      <c r="D68" s="14" t="s">
        <v>10</v>
      </c>
      <c r="E68" s="4" t="s">
        <v>66</v>
      </c>
      <c r="F68" s="4" t="s">
        <v>23</v>
      </c>
      <c r="G68" s="19">
        <v>22.676712328767124</v>
      </c>
      <c r="H68" s="4">
        <v>1</v>
      </c>
      <c r="I68" s="4">
        <v>40</v>
      </c>
      <c r="J68" s="4">
        <v>38</v>
      </c>
      <c r="K68" s="4">
        <v>38</v>
      </c>
      <c r="L68" s="4">
        <v>116</v>
      </c>
      <c r="M68" s="4">
        <v>0</v>
      </c>
      <c r="N68" s="4">
        <v>129</v>
      </c>
      <c r="O68">
        <v>5</v>
      </c>
      <c r="P68">
        <v>1</v>
      </c>
      <c r="Q68">
        <v>38</v>
      </c>
      <c r="R68">
        <v>54.075000000000003</v>
      </c>
    </row>
    <row r="69" spans="1:18" x14ac:dyDescent="0.45">
      <c r="A69" s="7" t="s">
        <v>40</v>
      </c>
      <c r="B69" s="14">
        <v>2019</v>
      </c>
      <c r="C69" s="16">
        <v>43807</v>
      </c>
      <c r="D69" s="14" t="s">
        <v>10</v>
      </c>
      <c r="E69" s="4" t="s">
        <v>64</v>
      </c>
      <c r="F69" s="4" t="s">
        <v>49</v>
      </c>
      <c r="G69" s="19">
        <v>24.972602739726028</v>
      </c>
      <c r="H69" s="4">
        <v>2</v>
      </c>
      <c r="I69" s="4">
        <v>38</v>
      </c>
      <c r="J69" s="4">
        <v>36</v>
      </c>
      <c r="K69" s="4">
        <v>36</v>
      </c>
      <c r="L69" s="4">
        <v>110</v>
      </c>
      <c r="M69" s="4">
        <v>0</v>
      </c>
      <c r="N69" s="4">
        <v>118</v>
      </c>
      <c r="O69">
        <v>2</v>
      </c>
      <c r="P69">
        <v>1</v>
      </c>
      <c r="Q69">
        <v>31</v>
      </c>
      <c r="R69">
        <v>54.075000000000003</v>
      </c>
    </row>
    <row r="70" spans="1:18" x14ac:dyDescent="0.45">
      <c r="A70" s="7" t="s">
        <v>40</v>
      </c>
      <c r="B70" s="14">
        <v>2019</v>
      </c>
      <c r="C70" s="16">
        <v>43807</v>
      </c>
      <c r="D70" s="14" t="s">
        <v>10</v>
      </c>
      <c r="E70" s="4" t="s">
        <v>105</v>
      </c>
      <c r="F70" s="4" t="s">
        <v>50</v>
      </c>
      <c r="G70" s="19">
        <v>26.536986301369861</v>
      </c>
      <c r="H70" s="4">
        <v>3</v>
      </c>
      <c r="I70" s="4">
        <v>32</v>
      </c>
      <c r="J70" s="4">
        <v>40</v>
      </c>
      <c r="K70" s="4">
        <v>32</v>
      </c>
      <c r="L70" s="4">
        <v>104</v>
      </c>
      <c r="M70" s="4">
        <v>0</v>
      </c>
      <c r="N70" s="4">
        <v>111</v>
      </c>
      <c r="O70">
        <v>3</v>
      </c>
      <c r="P70">
        <v>0</v>
      </c>
      <c r="Q70">
        <v>47</v>
      </c>
      <c r="R70">
        <v>54.075000000000003</v>
      </c>
    </row>
    <row r="71" spans="1:18" x14ac:dyDescent="0.45">
      <c r="A71" s="15" t="s">
        <v>21</v>
      </c>
      <c r="B71" s="11">
        <v>2019</v>
      </c>
      <c r="C71" s="13">
        <v>43800</v>
      </c>
      <c r="D71" s="11" t="s">
        <v>10</v>
      </c>
      <c r="E71" s="1" t="s">
        <v>66</v>
      </c>
      <c r="F71" s="1" t="s">
        <v>23</v>
      </c>
      <c r="G71" s="19">
        <v>22.657534246575342</v>
      </c>
      <c r="H71" s="1">
        <v>1</v>
      </c>
      <c r="I71" s="1">
        <v>28</v>
      </c>
      <c r="J71" s="1">
        <v>36</v>
      </c>
      <c r="K71" s="1">
        <v>40</v>
      </c>
      <c r="L71" s="1">
        <v>104</v>
      </c>
      <c r="M71" s="1">
        <v>0</v>
      </c>
      <c r="N71" s="1">
        <v>113</v>
      </c>
      <c r="O71">
        <v>4</v>
      </c>
      <c r="P71">
        <v>0</v>
      </c>
      <c r="Q71">
        <v>38</v>
      </c>
      <c r="R71">
        <v>55.494999999999997</v>
      </c>
    </row>
    <row r="72" spans="1:18" x14ac:dyDescent="0.45">
      <c r="A72" s="15" t="s">
        <v>21</v>
      </c>
      <c r="B72" s="11">
        <v>2019</v>
      </c>
      <c r="C72" s="13">
        <v>43800</v>
      </c>
      <c r="D72" s="11" t="s">
        <v>10</v>
      </c>
      <c r="E72" s="1" t="s">
        <v>94</v>
      </c>
      <c r="F72" s="1" t="s">
        <v>18</v>
      </c>
      <c r="G72" s="19">
        <v>20.410958904109588</v>
      </c>
      <c r="H72" s="1">
        <v>2</v>
      </c>
      <c r="I72" s="1">
        <v>36</v>
      </c>
      <c r="J72" s="1">
        <v>38</v>
      </c>
      <c r="K72" s="1">
        <v>38</v>
      </c>
      <c r="L72" s="1">
        <v>112</v>
      </c>
      <c r="M72" s="1">
        <v>0</v>
      </c>
      <c r="N72" s="1">
        <v>113</v>
      </c>
      <c r="O72">
        <v>1</v>
      </c>
      <c r="P72">
        <v>0</v>
      </c>
      <c r="Q72">
        <v>31</v>
      </c>
      <c r="R72">
        <v>55.494999999999997</v>
      </c>
    </row>
    <row r="73" spans="1:18" x14ac:dyDescent="0.45">
      <c r="A73" s="15" t="s">
        <v>21</v>
      </c>
      <c r="B73" s="11">
        <v>2019</v>
      </c>
      <c r="C73" s="13">
        <v>43800</v>
      </c>
      <c r="D73" s="11" t="s">
        <v>10</v>
      </c>
      <c r="E73" s="1" t="s">
        <v>75</v>
      </c>
      <c r="F73" s="1" t="s">
        <v>12</v>
      </c>
      <c r="G73" s="19">
        <v>29.736986301369864</v>
      </c>
      <c r="H73" s="1">
        <v>3</v>
      </c>
      <c r="I73" s="1">
        <v>40</v>
      </c>
      <c r="J73" s="1">
        <v>26</v>
      </c>
      <c r="K73" s="1">
        <v>30</v>
      </c>
      <c r="L73" s="1">
        <v>96</v>
      </c>
      <c r="M73" s="1">
        <v>0</v>
      </c>
      <c r="N73" s="1">
        <v>106</v>
      </c>
      <c r="O73">
        <v>4</v>
      </c>
      <c r="P73">
        <v>0</v>
      </c>
      <c r="Q73">
        <v>31</v>
      </c>
      <c r="R73">
        <v>55.494999999999997</v>
      </c>
    </row>
    <row r="74" spans="1:18" x14ac:dyDescent="0.45">
      <c r="A74" s="14" t="s">
        <v>26</v>
      </c>
      <c r="B74" s="14">
        <v>2019</v>
      </c>
      <c r="C74" s="16">
        <v>43778</v>
      </c>
      <c r="D74" s="14" t="s">
        <v>10</v>
      </c>
      <c r="E74" s="4" t="s">
        <v>78</v>
      </c>
      <c r="F74" s="4" t="s">
        <v>11</v>
      </c>
      <c r="G74" s="19">
        <v>37.093150684931508</v>
      </c>
      <c r="H74" s="4">
        <v>1</v>
      </c>
      <c r="I74" s="4">
        <v>36</v>
      </c>
      <c r="J74" s="4">
        <v>32</v>
      </c>
      <c r="K74" s="4">
        <v>40</v>
      </c>
      <c r="L74" s="4">
        <v>108</v>
      </c>
      <c r="M74" s="4">
        <v>0</v>
      </c>
      <c r="N74" s="4">
        <v>121</v>
      </c>
      <c r="O74">
        <v>3</v>
      </c>
      <c r="P74">
        <v>2</v>
      </c>
      <c r="Q74">
        <v>32</v>
      </c>
      <c r="R74">
        <v>53.826000000000001</v>
      </c>
    </row>
    <row r="75" spans="1:18" x14ac:dyDescent="0.45">
      <c r="A75" s="14" t="s">
        <v>26</v>
      </c>
      <c r="B75" s="14">
        <v>2019</v>
      </c>
      <c r="C75" s="16">
        <v>43778</v>
      </c>
      <c r="D75" s="14" t="s">
        <v>10</v>
      </c>
      <c r="E75" s="4" t="s">
        <v>103</v>
      </c>
      <c r="F75" s="4" t="s">
        <v>104</v>
      </c>
      <c r="G75" s="19">
        <v>39.526027397260272</v>
      </c>
      <c r="H75" s="4">
        <v>2</v>
      </c>
      <c r="I75" s="4">
        <v>16</v>
      </c>
      <c r="J75" s="4">
        <v>34</v>
      </c>
      <c r="K75" s="4">
        <v>14</v>
      </c>
      <c r="L75" s="4">
        <v>64</v>
      </c>
      <c r="M75" s="4">
        <v>40</v>
      </c>
      <c r="N75" s="4">
        <v>115</v>
      </c>
      <c r="O75">
        <v>3</v>
      </c>
      <c r="P75">
        <v>2</v>
      </c>
      <c r="Q75">
        <v>9</v>
      </c>
      <c r="R75">
        <v>53.826000000000001</v>
      </c>
    </row>
    <row r="76" spans="1:18" x14ac:dyDescent="0.45">
      <c r="A76" s="14" t="s">
        <v>26</v>
      </c>
      <c r="B76" s="14">
        <v>2019</v>
      </c>
      <c r="C76" s="16">
        <v>43778</v>
      </c>
      <c r="D76" s="14" t="s">
        <v>10</v>
      </c>
      <c r="E76" s="4" t="s">
        <v>74</v>
      </c>
      <c r="F76" s="4" t="s">
        <v>39</v>
      </c>
      <c r="G76" s="19">
        <v>27.92876712328767</v>
      </c>
      <c r="H76" s="4">
        <v>3</v>
      </c>
      <c r="I76" s="4">
        <v>30</v>
      </c>
      <c r="J76" s="4">
        <v>36</v>
      </c>
      <c r="K76" s="4">
        <v>34</v>
      </c>
      <c r="L76" s="4">
        <v>100</v>
      </c>
      <c r="M76" s="4">
        <v>0</v>
      </c>
      <c r="N76" s="4">
        <v>111</v>
      </c>
      <c r="O76">
        <v>4</v>
      </c>
      <c r="P76">
        <v>0</v>
      </c>
      <c r="Q76">
        <v>0</v>
      </c>
      <c r="R76">
        <v>53.826000000000001</v>
      </c>
    </row>
    <row r="77" spans="1:18" x14ac:dyDescent="0.45">
      <c r="A77" s="15" t="s">
        <v>41</v>
      </c>
      <c r="B77" s="1">
        <v>2019</v>
      </c>
      <c r="C77" s="10">
        <v>43772</v>
      </c>
      <c r="D77" s="1" t="s">
        <v>10</v>
      </c>
      <c r="E77" s="1" t="s">
        <v>64</v>
      </c>
      <c r="F77" s="1" t="s">
        <v>49</v>
      </c>
      <c r="G77" s="19">
        <v>24.876712328767123</v>
      </c>
      <c r="H77" s="1">
        <v>1</v>
      </c>
      <c r="I77" s="1">
        <v>40</v>
      </c>
      <c r="J77" s="1">
        <v>40</v>
      </c>
      <c r="K77" s="1">
        <v>36</v>
      </c>
      <c r="L77" s="1">
        <v>116</v>
      </c>
      <c r="M77" s="1">
        <v>0</v>
      </c>
      <c r="N77" s="1">
        <v>130</v>
      </c>
      <c r="O77">
        <v>4</v>
      </c>
      <c r="P77">
        <v>2</v>
      </c>
      <c r="Q77">
        <v>47</v>
      </c>
      <c r="R77">
        <v>53.822000000000003</v>
      </c>
    </row>
    <row r="78" spans="1:18" x14ac:dyDescent="0.45">
      <c r="A78" s="15" t="s">
        <v>41</v>
      </c>
      <c r="B78" s="1">
        <v>2019</v>
      </c>
      <c r="C78" s="10">
        <v>43772</v>
      </c>
      <c r="D78" s="1" t="s">
        <v>10</v>
      </c>
      <c r="E78" s="1" t="s">
        <v>77</v>
      </c>
      <c r="F78" s="1" t="s">
        <v>19</v>
      </c>
      <c r="G78" s="19">
        <v>20.298630136986301</v>
      </c>
      <c r="H78" s="1">
        <v>2</v>
      </c>
      <c r="I78" s="1">
        <v>36</v>
      </c>
      <c r="J78" s="1">
        <v>38</v>
      </c>
      <c r="K78" s="1">
        <v>38</v>
      </c>
      <c r="L78" s="1">
        <v>112</v>
      </c>
      <c r="M78" s="1">
        <v>0</v>
      </c>
      <c r="N78" s="1">
        <v>116</v>
      </c>
      <c r="O78">
        <v>2</v>
      </c>
      <c r="P78">
        <v>0</v>
      </c>
      <c r="Q78">
        <v>54</v>
      </c>
      <c r="R78">
        <v>53.822000000000003</v>
      </c>
    </row>
    <row r="79" spans="1:18" x14ac:dyDescent="0.45">
      <c r="A79" s="15" t="s">
        <v>41</v>
      </c>
      <c r="B79" s="1">
        <v>2019</v>
      </c>
      <c r="C79" s="10">
        <v>43772</v>
      </c>
      <c r="D79" s="1" t="s">
        <v>10</v>
      </c>
      <c r="E79" s="1" t="s">
        <v>73</v>
      </c>
      <c r="F79" s="1" t="s">
        <v>25</v>
      </c>
      <c r="G79" s="19">
        <v>27.545205479452054</v>
      </c>
      <c r="H79" s="1">
        <v>3</v>
      </c>
      <c r="I79" s="1">
        <v>38</v>
      </c>
      <c r="J79" s="1">
        <v>18</v>
      </c>
      <c r="K79" s="1">
        <v>40</v>
      </c>
      <c r="L79" s="1">
        <v>96</v>
      </c>
      <c r="M79" s="1">
        <v>0</v>
      </c>
      <c r="N79" s="1">
        <v>108</v>
      </c>
      <c r="O79">
        <v>4</v>
      </c>
      <c r="P79">
        <v>1</v>
      </c>
      <c r="Q79">
        <v>47</v>
      </c>
      <c r="R79">
        <v>53.822000000000003</v>
      </c>
    </row>
    <row r="80" spans="1:18" x14ac:dyDescent="0.45">
      <c r="A80" s="4" t="s">
        <v>42</v>
      </c>
      <c r="B80" s="4">
        <v>2019</v>
      </c>
      <c r="C80" s="16">
        <v>43525</v>
      </c>
      <c r="D80" s="4" t="s">
        <v>14</v>
      </c>
      <c r="E80" s="4" t="s">
        <v>78</v>
      </c>
      <c r="F80" s="4" t="s">
        <v>11</v>
      </c>
      <c r="G80" s="19">
        <v>36.4</v>
      </c>
      <c r="H80" s="4">
        <v>1</v>
      </c>
      <c r="I80" s="4">
        <v>34</v>
      </c>
      <c r="J80" s="4">
        <v>30</v>
      </c>
      <c r="K80" s="4">
        <v>38</v>
      </c>
      <c r="L80" s="4">
        <v>102</v>
      </c>
      <c r="M80" s="4">
        <v>0</v>
      </c>
      <c r="N80" s="4">
        <v>117</v>
      </c>
      <c r="O80">
        <v>5</v>
      </c>
      <c r="P80">
        <v>1</v>
      </c>
      <c r="Q80">
        <v>35</v>
      </c>
      <c r="R80">
        <v>54.338000000000001</v>
      </c>
    </row>
    <row r="81" spans="1:18" x14ac:dyDescent="0.45">
      <c r="A81" s="4" t="s">
        <v>42</v>
      </c>
      <c r="B81" s="4">
        <v>2019</v>
      </c>
      <c r="C81" s="16">
        <v>43525</v>
      </c>
      <c r="D81" s="4" t="s">
        <v>14</v>
      </c>
      <c r="E81" s="4" t="s">
        <v>77</v>
      </c>
      <c r="F81" s="4" t="s">
        <v>19</v>
      </c>
      <c r="G81" s="19">
        <v>19.621917808219177</v>
      </c>
      <c r="H81" s="4">
        <v>2</v>
      </c>
      <c r="I81" s="4">
        <v>40</v>
      </c>
      <c r="J81" s="4">
        <v>28</v>
      </c>
      <c r="K81" s="4">
        <v>36</v>
      </c>
      <c r="L81" s="4">
        <v>104</v>
      </c>
      <c r="M81" s="4">
        <v>0</v>
      </c>
      <c r="N81" s="4">
        <v>115</v>
      </c>
      <c r="O81">
        <v>4</v>
      </c>
      <c r="P81">
        <v>1</v>
      </c>
      <c r="Q81">
        <v>42</v>
      </c>
      <c r="R81">
        <v>54.338000000000001</v>
      </c>
    </row>
    <row r="82" spans="1:18" x14ac:dyDescent="0.45">
      <c r="A82" s="4" t="s">
        <v>42</v>
      </c>
      <c r="B82" s="4">
        <v>2019</v>
      </c>
      <c r="C82" s="16">
        <v>43525</v>
      </c>
      <c r="D82" s="4" t="s">
        <v>14</v>
      </c>
      <c r="E82" s="4" t="s">
        <v>64</v>
      </c>
      <c r="F82" s="4" t="s">
        <v>49</v>
      </c>
      <c r="G82" s="19">
        <v>24.2</v>
      </c>
      <c r="H82" s="4">
        <v>3</v>
      </c>
      <c r="I82" s="4">
        <v>36</v>
      </c>
      <c r="J82" s="4">
        <v>16</v>
      </c>
      <c r="K82" s="4">
        <v>40</v>
      </c>
      <c r="L82" s="4">
        <v>92</v>
      </c>
      <c r="M82" s="4">
        <v>0</v>
      </c>
      <c r="N82" s="4">
        <v>106</v>
      </c>
      <c r="O82">
        <v>4</v>
      </c>
      <c r="P82">
        <v>1</v>
      </c>
      <c r="Q82">
        <v>16</v>
      </c>
      <c r="R82">
        <v>54.338000000000001</v>
      </c>
    </row>
    <row r="83" spans="1:18" x14ac:dyDescent="0.45">
      <c r="A83" s="1" t="s">
        <v>21</v>
      </c>
      <c r="B83" s="1">
        <v>2019</v>
      </c>
      <c r="C83" s="10">
        <v>43492</v>
      </c>
      <c r="D83" s="1" t="s">
        <v>10</v>
      </c>
      <c r="E83" s="1" t="s">
        <v>78</v>
      </c>
      <c r="F83" s="1" t="s">
        <v>11</v>
      </c>
      <c r="G83" s="19">
        <v>36.30958904109589</v>
      </c>
      <c r="H83" s="1">
        <v>1</v>
      </c>
      <c r="I83" s="1">
        <v>40</v>
      </c>
      <c r="J83" s="1">
        <v>36</v>
      </c>
      <c r="K83" s="1">
        <v>40</v>
      </c>
      <c r="L83" s="1">
        <v>116</v>
      </c>
      <c r="M83" s="1">
        <v>0</v>
      </c>
      <c r="N83" s="1">
        <v>137</v>
      </c>
      <c r="O83">
        <v>4</v>
      </c>
      <c r="P83">
        <v>3</v>
      </c>
      <c r="Q83">
        <v>32</v>
      </c>
      <c r="R83">
        <v>54.046999999999997</v>
      </c>
    </row>
    <row r="84" spans="1:18" x14ac:dyDescent="0.45">
      <c r="A84" s="1" t="s">
        <v>21</v>
      </c>
      <c r="B84" s="1">
        <v>2019</v>
      </c>
      <c r="C84" s="10">
        <v>43492</v>
      </c>
      <c r="D84" s="1" t="s">
        <v>10</v>
      </c>
      <c r="E84" s="1" t="s">
        <v>110</v>
      </c>
      <c r="F84" s="1" t="s">
        <v>27</v>
      </c>
      <c r="G84" s="19">
        <v>27.44109589041096</v>
      </c>
      <c r="H84" s="1">
        <v>2</v>
      </c>
      <c r="I84" s="1">
        <v>38</v>
      </c>
      <c r="J84" s="1">
        <v>40</v>
      </c>
      <c r="K84" s="1">
        <v>36</v>
      </c>
      <c r="L84" s="1">
        <v>114</v>
      </c>
      <c r="M84" s="1">
        <v>0</v>
      </c>
      <c r="N84" s="1">
        <v>114</v>
      </c>
      <c r="O84">
        <v>0</v>
      </c>
      <c r="P84">
        <v>0</v>
      </c>
      <c r="Q84">
        <v>18</v>
      </c>
      <c r="R84">
        <v>54.046999999999997</v>
      </c>
    </row>
    <row r="85" spans="1:18" x14ac:dyDescent="0.45">
      <c r="A85" s="1" t="s">
        <v>21</v>
      </c>
      <c r="B85" s="1">
        <v>2019</v>
      </c>
      <c r="C85" s="10">
        <v>43492</v>
      </c>
      <c r="D85" s="1" t="s">
        <v>10</v>
      </c>
      <c r="E85" s="1" t="s">
        <v>97</v>
      </c>
      <c r="F85" s="1" t="s">
        <v>39</v>
      </c>
      <c r="G85" s="19">
        <v>22.92876712328767</v>
      </c>
      <c r="H85" s="1">
        <v>3</v>
      </c>
      <c r="I85" s="1">
        <v>12</v>
      </c>
      <c r="J85" s="1">
        <v>38</v>
      </c>
      <c r="K85" s="1">
        <v>32</v>
      </c>
      <c r="L85" s="1">
        <v>82</v>
      </c>
      <c r="M85" s="1">
        <v>20</v>
      </c>
      <c r="N85" s="1">
        <v>112</v>
      </c>
      <c r="O85">
        <v>2</v>
      </c>
      <c r="P85">
        <v>2</v>
      </c>
      <c r="Q85">
        <v>12</v>
      </c>
      <c r="R85">
        <v>54.046999999999997</v>
      </c>
    </row>
    <row r="86" spans="1:18" x14ac:dyDescent="0.45">
      <c r="A86" s="7" t="s">
        <v>40</v>
      </c>
      <c r="B86" s="7">
        <v>2019</v>
      </c>
      <c r="C86" s="8">
        <v>43484</v>
      </c>
      <c r="D86" s="7" t="s">
        <v>10</v>
      </c>
      <c r="E86" s="4" t="s">
        <v>74</v>
      </c>
      <c r="F86" s="4" t="s">
        <v>39</v>
      </c>
      <c r="G86" s="19">
        <v>27.123287671232877</v>
      </c>
      <c r="H86" s="4">
        <v>1</v>
      </c>
      <c r="I86" s="4">
        <v>40</v>
      </c>
      <c r="J86" s="4">
        <v>34</v>
      </c>
      <c r="K86" s="4">
        <v>40</v>
      </c>
      <c r="L86" s="4">
        <v>114</v>
      </c>
      <c r="M86" s="4">
        <v>0</v>
      </c>
      <c r="N86" s="4">
        <v>131</v>
      </c>
      <c r="O86">
        <v>5</v>
      </c>
      <c r="P86">
        <v>1</v>
      </c>
      <c r="Q86">
        <v>7</v>
      </c>
      <c r="R86">
        <v>51.37</v>
      </c>
    </row>
    <row r="87" spans="1:18" x14ac:dyDescent="0.45">
      <c r="A87" s="7" t="s">
        <v>40</v>
      </c>
      <c r="B87" s="7">
        <v>2019</v>
      </c>
      <c r="C87" s="8">
        <v>43484</v>
      </c>
      <c r="D87" s="7" t="s">
        <v>10</v>
      </c>
      <c r="E87" s="4" t="s">
        <v>105</v>
      </c>
      <c r="F87" s="4" t="s">
        <v>50</v>
      </c>
      <c r="G87" s="19">
        <v>25.652054794520549</v>
      </c>
      <c r="H87" s="4">
        <v>2</v>
      </c>
      <c r="I87" s="4">
        <v>34</v>
      </c>
      <c r="J87" s="4">
        <v>38</v>
      </c>
      <c r="K87" s="4">
        <v>34</v>
      </c>
      <c r="L87" s="4">
        <v>106</v>
      </c>
      <c r="M87" s="4">
        <v>0</v>
      </c>
      <c r="N87" s="4">
        <v>123</v>
      </c>
      <c r="O87">
        <v>4</v>
      </c>
      <c r="P87">
        <v>2</v>
      </c>
      <c r="Q87">
        <v>8</v>
      </c>
      <c r="R87">
        <v>51.37</v>
      </c>
    </row>
    <row r="88" spans="1:18" x14ac:dyDescent="0.45">
      <c r="A88" s="7" t="s">
        <v>40</v>
      </c>
      <c r="B88" s="7">
        <v>2019</v>
      </c>
      <c r="C88" s="8">
        <v>43484</v>
      </c>
      <c r="D88" s="7" t="s">
        <v>10</v>
      </c>
      <c r="E88" s="7" t="s">
        <v>66</v>
      </c>
      <c r="F88" s="4" t="s">
        <v>23</v>
      </c>
      <c r="G88" s="19">
        <v>21.791780821917808</v>
      </c>
      <c r="H88" s="4">
        <v>3</v>
      </c>
      <c r="I88" s="4">
        <v>36</v>
      </c>
      <c r="J88" s="4">
        <v>24</v>
      </c>
      <c r="K88" s="4">
        <v>38</v>
      </c>
      <c r="L88" s="4">
        <v>98</v>
      </c>
      <c r="M88" s="4">
        <v>0</v>
      </c>
      <c r="N88" s="4">
        <v>113</v>
      </c>
      <c r="O88">
        <v>4</v>
      </c>
      <c r="P88">
        <v>1</v>
      </c>
      <c r="Q88">
        <v>8</v>
      </c>
      <c r="R88">
        <v>51.37</v>
      </c>
    </row>
    <row r="89" spans="1:18" x14ac:dyDescent="0.45">
      <c r="A89" s="11" t="s">
        <v>48</v>
      </c>
      <c r="B89" s="11">
        <v>2018</v>
      </c>
      <c r="C89" s="13">
        <v>43449</v>
      </c>
      <c r="D89" s="11" t="s">
        <v>10</v>
      </c>
      <c r="E89" s="1" t="s">
        <v>78</v>
      </c>
      <c r="F89" s="1" t="s">
        <v>11</v>
      </c>
      <c r="G89" s="19">
        <v>36.19178082191781</v>
      </c>
      <c r="H89" s="1">
        <v>1</v>
      </c>
      <c r="I89" s="1">
        <v>40</v>
      </c>
      <c r="J89" s="1">
        <v>36</v>
      </c>
      <c r="K89" s="1">
        <v>40</v>
      </c>
      <c r="L89" s="1">
        <v>116</v>
      </c>
      <c r="M89" s="1">
        <v>0</v>
      </c>
      <c r="N89" s="1">
        <v>124</v>
      </c>
      <c r="O89">
        <v>3</v>
      </c>
      <c r="P89">
        <v>1</v>
      </c>
      <c r="Q89">
        <v>19</v>
      </c>
      <c r="R89">
        <v>52.722999999999999</v>
      </c>
    </row>
    <row r="90" spans="1:18" x14ac:dyDescent="0.45">
      <c r="A90" s="11" t="s">
        <v>48</v>
      </c>
      <c r="B90" s="11">
        <v>2018</v>
      </c>
      <c r="C90" s="13">
        <v>43449</v>
      </c>
      <c r="D90" s="11" t="s">
        <v>10</v>
      </c>
      <c r="E90" s="1" t="s">
        <v>64</v>
      </c>
      <c r="F90" s="1" t="s">
        <v>49</v>
      </c>
      <c r="G90" s="19">
        <v>23.991780821917807</v>
      </c>
      <c r="H90" s="1">
        <v>2</v>
      </c>
      <c r="I90" s="1">
        <v>36</v>
      </c>
      <c r="J90" s="1">
        <v>38</v>
      </c>
      <c r="K90" s="1">
        <v>34</v>
      </c>
      <c r="L90" s="1">
        <v>108</v>
      </c>
      <c r="M90" s="1">
        <v>0</v>
      </c>
      <c r="N90" s="1">
        <v>118</v>
      </c>
      <c r="O90">
        <v>3</v>
      </c>
      <c r="P90">
        <v>1</v>
      </c>
      <c r="Q90">
        <v>37</v>
      </c>
      <c r="R90">
        <v>52.722999999999999</v>
      </c>
    </row>
    <row r="91" spans="1:18" x14ac:dyDescent="0.45">
      <c r="A91" s="1" t="s">
        <v>48</v>
      </c>
      <c r="B91" s="11">
        <v>2018</v>
      </c>
      <c r="C91" s="13">
        <v>43449</v>
      </c>
      <c r="D91" s="11" t="s">
        <v>10</v>
      </c>
      <c r="E91" s="1" t="s">
        <v>105</v>
      </c>
      <c r="F91" s="1" t="s">
        <v>50</v>
      </c>
      <c r="G91" s="19">
        <v>25.556164383561644</v>
      </c>
      <c r="H91" s="1">
        <v>3</v>
      </c>
      <c r="I91" s="1">
        <v>32</v>
      </c>
      <c r="J91" s="1">
        <v>34</v>
      </c>
      <c r="K91" s="1">
        <v>28</v>
      </c>
      <c r="L91" s="1">
        <v>94</v>
      </c>
      <c r="M91" s="1">
        <v>0</v>
      </c>
      <c r="N91" s="1">
        <v>106</v>
      </c>
      <c r="O91">
        <v>4</v>
      </c>
      <c r="P91">
        <v>1</v>
      </c>
      <c r="Q91">
        <v>8</v>
      </c>
      <c r="R91">
        <v>52.722999999999999</v>
      </c>
    </row>
    <row r="92" spans="1:18" x14ac:dyDescent="0.45">
      <c r="A92" s="4" t="s">
        <v>37</v>
      </c>
      <c r="B92" s="7">
        <v>2018</v>
      </c>
      <c r="C92" s="8">
        <v>43435</v>
      </c>
      <c r="D92" s="7" t="s">
        <v>10</v>
      </c>
      <c r="E92" s="4" t="s">
        <v>65</v>
      </c>
      <c r="F92" s="4" t="s">
        <v>25</v>
      </c>
      <c r="G92" s="19">
        <v>24.739726027397261</v>
      </c>
      <c r="H92" s="4">
        <v>1</v>
      </c>
      <c r="I92" s="4">
        <v>40</v>
      </c>
      <c r="J92" s="4">
        <v>40</v>
      </c>
      <c r="K92" s="4">
        <v>40</v>
      </c>
      <c r="L92" s="4">
        <v>120</v>
      </c>
      <c r="M92" s="4">
        <v>0</v>
      </c>
      <c r="N92" s="4">
        <v>132</v>
      </c>
      <c r="O92">
        <v>4</v>
      </c>
      <c r="P92">
        <v>1</v>
      </c>
      <c r="Q92">
        <v>18</v>
      </c>
      <c r="R92">
        <v>52.741999999999997</v>
      </c>
    </row>
    <row r="93" spans="1:18" x14ac:dyDescent="0.45">
      <c r="A93" s="4" t="s">
        <v>37</v>
      </c>
      <c r="B93" s="7">
        <v>2018</v>
      </c>
      <c r="C93" s="8">
        <v>43435</v>
      </c>
      <c r="D93" s="7" t="s">
        <v>10</v>
      </c>
      <c r="E93" s="4" t="s">
        <v>77</v>
      </c>
      <c r="F93" s="4" t="s">
        <v>19</v>
      </c>
      <c r="G93" s="19">
        <v>19.375342465753423</v>
      </c>
      <c r="H93" s="4">
        <v>2</v>
      </c>
      <c r="I93" s="4">
        <v>36</v>
      </c>
      <c r="J93" s="4">
        <v>36</v>
      </c>
      <c r="K93" s="4">
        <v>32</v>
      </c>
      <c r="L93" s="4">
        <v>104</v>
      </c>
      <c r="M93" s="4">
        <v>0</v>
      </c>
      <c r="N93" s="4">
        <v>118</v>
      </c>
      <c r="O93">
        <v>3</v>
      </c>
      <c r="P93">
        <v>1</v>
      </c>
      <c r="Q93">
        <v>6</v>
      </c>
      <c r="R93">
        <v>52.741999999999997</v>
      </c>
    </row>
    <row r="94" spans="1:18" x14ac:dyDescent="0.45">
      <c r="A94" s="4" t="s">
        <v>37</v>
      </c>
      <c r="B94" s="7">
        <v>2018</v>
      </c>
      <c r="C94" s="8">
        <v>43435</v>
      </c>
      <c r="D94" s="7" t="s">
        <v>10</v>
      </c>
      <c r="E94" s="4" t="s">
        <v>64</v>
      </c>
      <c r="F94" s="4" t="s">
        <v>49</v>
      </c>
      <c r="G94" s="19">
        <v>23.953424657534246</v>
      </c>
      <c r="H94" s="4">
        <v>3</v>
      </c>
      <c r="I94" s="4">
        <v>34</v>
      </c>
      <c r="J94" s="4">
        <v>34</v>
      </c>
      <c r="K94" s="4">
        <v>36</v>
      </c>
      <c r="L94" s="4">
        <v>104</v>
      </c>
      <c r="M94" s="4">
        <v>0</v>
      </c>
      <c r="N94" s="4">
        <v>116</v>
      </c>
      <c r="O94">
        <v>6</v>
      </c>
      <c r="P94">
        <v>1</v>
      </c>
      <c r="Q94">
        <v>15</v>
      </c>
      <c r="R94">
        <v>52.741999999999997</v>
      </c>
    </row>
    <row r="95" spans="1:18" x14ac:dyDescent="0.45">
      <c r="A95" s="1" t="s">
        <v>20</v>
      </c>
      <c r="B95" s="11">
        <v>2018</v>
      </c>
      <c r="C95" s="13">
        <v>43401</v>
      </c>
      <c r="D95" s="11" t="s">
        <v>10</v>
      </c>
      <c r="E95" s="1" t="s">
        <v>73</v>
      </c>
      <c r="F95" s="1" t="s">
        <v>25</v>
      </c>
      <c r="G95" s="19">
        <v>26.528767123287672</v>
      </c>
      <c r="H95" s="1">
        <v>1</v>
      </c>
      <c r="I95" s="1">
        <v>36</v>
      </c>
      <c r="J95" s="1">
        <v>36</v>
      </c>
      <c r="K95" s="1">
        <v>40</v>
      </c>
      <c r="L95" s="1">
        <v>112</v>
      </c>
      <c r="M95" s="1">
        <v>0</v>
      </c>
      <c r="N95" s="1">
        <v>133</v>
      </c>
      <c r="O95" s="4">
        <v>5</v>
      </c>
      <c r="P95" s="4">
        <v>3</v>
      </c>
      <c r="Q95" s="4">
        <v>34</v>
      </c>
      <c r="R95" s="4">
        <v>52.878999999999998</v>
      </c>
    </row>
    <row r="96" spans="1:18" x14ac:dyDescent="0.45">
      <c r="A96" s="1" t="s">
        <v>20</v>
      </c>
      <c r="B96" s="11">
        <v>2018</v>
      </c>
      <c r="C96" s="13">
        <v>43401</v>
      </c>
      <c r="D96" s="11" t="s">
        <v>10</v>
      </c>
      <c r="E96" s="1" t="s">
        <v>112</v>
      </c>
      <c r="F96" s="1" t="s">
        <v>31</v>
      </c>
      <c r="G96" s="19">
        <v>21.901369863013699</v>
      </c>
      <c r="H96" s="1">
        <v>2</v>
      </c>
      <c r="I96" s="1">
        <v>38</v>
      </c>
      <c r="J96" s="1">
        <v>38</v>
      </c>
      <c r="K96" s="1">
        <v>38</v>
      </c>
      <c r="L96" s="1">
        <v>114</v>
      </c>
      <c r="M96" s="1">
        <v>0</v>
      </c>
      <c r="N96" s="1">
        <v>115</v>
      </c>
      <c r="O96" s="4">
        <v>1</v>
      </c>
      <c r="P96" s="4">
        <v>0</v>
      </c>
      <c r="Q96" s="4">
        <v>20</v>
      </c>
      <c r="R96" s="4">
        <v>52.878999999999998</v>
      </c>
    </row>
    <row r="97" spans="1:18" x14ac:dyDescent="0.45">
      <c r="A97" s="1" t="s">
        <v>20</v>
      </c>
      <c r="B97" s="11">
        <v>2018</v>
      </c>
      <c r="C97" s="13">
        <v>43401</v>
      </c>
      <c r="D97" s="11" t="s">
        <v>10</v>
      </c>
      <c r="E97" s="1" t="s">
        <v>64</v>
      </c>
      <c r="F97" s="1" t="s">
        <v>49</v>
      </c>
      <c r="G97" s="19">
        <v>23.860273972602741</v>
      </c>
      <c r="H97" s="1">
        <v>3</v>
      </c>
      <c r="I97" s="1">
        <v>40</v>
      </c>
      <c r="J97" s="1">
        <v>28</v>
      </c>
      <c r="K97" s="1">
        <v>36</v>
      </c>
      <c r="L97" s="1">
        <v>104</v>
      </c>
      <c r="M97" s="1">
        <v>0</v>
      </c>
      <c r="N97" s="1">
        <v>113</v>
      </c>
      <c r="O97" s="4">
        <v>3</v>
      </c>
      <c r="P97" s="4">
        <v>1</v>
      </c>
      <c r="Q97" s="4">
        <v>20</v>
      </c>
      <c r="R97" s="4">
        <v>52.878999999999998</v>
      </c>
    </row>
    <row r="98" spans="1:18" x14ac:dyDescent="0.45">
      <c r="A98" s="1"/>
      <c r="B98" s="1"/>
      <c r="C98" s="2"/>
      <c r="D98" s="1"/>
      <c r="E98" s="4"/>
      <c r="F98" s="4"/>
      <c r="H98" s="14"/>
      <c r="I98" s="4"/>
      <c r="J98" s="4"/>
      <c r="K98" s="4"/>
      <c r="L98" s="4"/>
      <c r="M98" s="4"/>
      <c r="N98" s="4"/>
      <c r="O98" s="4"/>
      <c r="P98" s="4"/>
      <c r="Q98" s="4"/>
      <c r="R98" s="4"/>
    </row>
    <row r="99" spans="1:18" x14ac:dyDescent="0.45">
      <c r="A99" s="1"/>
      <c r="B99" s="1"/>
      <c r="C99" s="2"/>
      <c r="D99" s="1"/>
      <c r="E99" s="4"/>
      <c r="F99" s="4"/>
      <c r="H99" s="14"/>
      <c r="I99" s="4"/>
      <c r="J99" s="4"/>
      <c r="K99" s="4"/>
      <c r="L99" s="4"/>
      <c r="M99" s="4"/>
      <c r="N99" s="4"/>
      <c r="O99" s="4"/>
      <c r="P99" s="4"/>
      <c r="Q99" s="4"/>
      <c r="R99" s="4"/>
    </row>
    <row r="100" spans="1:18" x14ac:dyDescent="0.45">
      <c r="A100" s="1"/>
      <c r="B100" s="1"/>
      <c r="C100" s="2"/>
      <c r="D100" s="1"/>
      <c r="E100" s="4"/>
      <c r="F100" s="4"/>
      <c r="H100" s="14"/>
      <c r="I100" s="4"/>
      <c r="J100" s="4"/>
      <c r="K100" s="4"/>
      <c r="L100" s="4"/>
      <c r="M100" s="4"/>
      <c r="N100" s="4"/>
      <c r="O100" s="4"/>
      <c r="P100" s="4"/>
      <c r="Q100" s="4"/>
      <c r="R100" s="4"/>
    </row>
    <row r="101" spans="1:18" x14ac:dyDescent="0.45">
      <c r="A101" s="1"/>
      <c r="B101" s="1"/>
      <c r="C101" s="2"/>
      <c r="D101" s="1"/>
      <c r="E101" s="4"/>
      <c r="F101" s="4"/>
      <c r="H101" s="14"/>
      <c r="I101" s="4"/>
      <c r="J101" s="4"/>
      <c r="K101" s="4"/>
      <c r="L101" s="4"/>
      <c r="M101" s="4"/>
      <c r="N101" s="4"/>
      <c r="O101" s="4"/>
      <c r="P101" s="4"/>
      <c r="R101" s="4"/>
    </row>
    <row r="102" spans="1:18" x14ac:dyDescent="0.45">
      <c r="A102" s="1"/>
      <c r="B102" s="1"/>
      <c r="C102" s="2"/>
      <c r="D102" s="1"/>
      <c r="E102" s="4"/>
      <c r="F102" s="4"/>
      <c r="H102" s="14"/>
      <c r="I102" s="4"/>
      <c r="J102" s="4"/>
      <c r="K102" s="4"/>
      <c r="L102" s="4"/>
      <c r="M102" s="4"/>
      <c r="N102" s="4"/>
      <c r="O102" s="4"/>
      <c r="P102" s="4"/>
      <c r="R102" s="4"/>
    </row>
    <row r="103" spans="1:18" x14ac:dyDescent="0.45">
      <c r="A103" s="1"/>
      <c r="B103" s="1"/>
      <c r="C103" s="2"/>
      <c r="D103" s="1"/>
      <c r="E103" s="4"/>
      <c r="F103" s="4"/>
      <c r="H103" s="14"/>
      <c r="I103" s="4"/>
      <c r="J103" s="4"/>
      <c r="K103" s="4"/>
      <c r="L103" s="4"/>
      <c r="M103" s="4"/>
      <c r="N103" s="4"/>
      <c r="O103" s="4"/>
      <c r="P103" s="4"/>
      <c r="R103" s="4"/>
    </row>
    <row r="104" spans="1:18" x14ac:dyDescent="0.45">
      <c r="A104" s="1"/>
      <c r="B104" s="1"/>
      <c r="C104" s="2"/>
      <c r="D104" s="1"/>
      <c r="E104" s="4"/>
      <c r="F104" s="4"/>
      <c r="H104" s="14"/>
      <c r="I104" s="4"/>
      <c r="J104" s="4"/>
      <c r="K104" s="4"/>
      <c r="L104" s="4"/>
      <c r="M104" s="4"/>
      <c r="N104" s="4"/>
      <c r="O104" s="4"/>
      <c r="P104" s="4"/>
      <c r="R104" s="4"/>
    </row>
    <row r="105" spans="1:18" x14ac:dyDescent="0.45">
      <c r="A105" s="1"/>
      <c r="B105" s="1"/>
      <c r="C105" s="2"/>
      <c r="D105" s="1"/>
      <c r="E105" s="4"/>
      <c r="F105" s="4"/>
      <c r="H105" s="14"/>
      <c r="I105" s="4"/>
      <c r="J105" s="4"/>
      <c r="K105" s="4"/>
      <c r="L105" s="4"/>
      <c r="M105" s="4"/>
      <c r="N105" s="4"/>
      <c r="O105" s="4"/>
      <c r="P105" s="4"/>
      <c r="R105" s="4"/>
    </row>
    <row r="106" spans="1:18" x14ac:dyDescent="0.45">
      <c r="A106" s="1"/>
      <c r="B106" s="1"/>
      <c r="C106" s="2"/>
      <c r="D106" s="1"/>
      <c r="E106" s="4"/>
      <c r="F106" s="4"/>
      <c r="H106" s="14"/>
      <c r="I106" s="4"/>
      <c r="J106" s="4"/>
      <c r="K106" s="4"/>
      <c r="L106" s="4"/>
      <c r="M106" s="4"/>
      <c r="N106" s="4"/>
      <c r="O106" s="4"/>
      <c r="P106" s="4"/>
      <c r="R106" s="4"/>
    </row>
    <row r="107" spans="1:18" x14ac:dyDescent="0.45">
      <c r="A107" s="1"/>
      <c r="B107" s="1"/>
      <c r="C107" s="2"/>
      <c r="D107" s="1"/>
      <c r="E107" s="4"/>
      <c r="F107" s="4"/>
      <c r="H107" s="14"/>
      <c r="I107" s="4"/>
      <c r="J107" s="4"/>
      <c r="K107" s="4"/>
      <c r="L107" s="4"/>
      <c r="M107" s="4"/>
      <c r="N107" s="4"/>
      <c r="O107" s="4"/>
      <c r="P107" s="4"/>
      <c r="R107" s="4"/>
    </row>
    <row r="108" spans="1:18" x14ac:dyDescent="0.45">
      <c r="A108" s="1"/>
      <c r="B108" s="1"/>
      <c r="C108" s="2"/>
      <c r="D108" s="1"/>
      <c r="E108" s="4"/>
      <c r="F108" s="4"/>
      <c r="H108" s="14"/>
      <c r="I108" s="4"/>
      <c r="J108" s="4"/>
      <c r="K108" s="4"/>
      <c r="L108" s="4"/>
      <c r="M108" s="4"/>
      <c r="N108" s="4"/>
      <c r="O108" s="4"/>
      <c r="P108" s="4"/>
      <c r="R108" s="4"/>
    </row>
    <row r="109" spans="1:18" x14ac:dyDescent="0.45">
      <c r="A109" s="1"/>
      <c r="B109" s="1"/>
      <c r="C109" s="2"/>
      <c r="D109" s="1"/>
      <c r="E109" s="4"/>
      <c r="F109" s="4"/>
      <c r="H109" s="14"/>
      <c r="I109" s="4"/>
      <c r="J109" s="4"/>
      <c r="K109" s="4"/>
      <c r="L109" s="4"/>
      <c r="M109" s="4"/>
      <c r="N109" s="4"/>
      <c r="O109" s="4"/>
      <c r="P109" s="4"/>
      <c r="R109" s="4"/>
    </row>
    <row r="110" spans="1:18" x14ac:dyDescent="0.45">
      <c r="A110" s="1"/>
      <c r="B110" s="1"/>
      <c r="C110" s="2"/>
      <c r="D110" s="1"/>
      <c r="E110" s="4"/>
      <c r="F110" s="4"/>
      <c r="H110" s="14"/>
      <c r="I110" s="4"/>
      <c r="J110" s="4"/>
      <c r="K110" s="4"/>
      <c r="L110" s="4"/>
      <c r="M110" s="4"/>
      <c r="N110" s="4"/>
      <c r="O110" s="4"/>
      <c r="P110" s="4"/>
      <c r="R110" s="4"/>
    </row>
    <row r="111" spans="1:18" x14ac:dyDescent="0.45">
      <c r="A111" s="1"/>
      <c r="B111" s="1"/>
      <c r="C111" s="2"/>
      <c r="D111" s="1"/>
      <c r="E111" s="4"/>
      <c r="F111" s="4"/>
      <c r="H111" s="14"/>
      <c r="I111" s="4"/>
      <c r="J111" s="4"/>
      <c r="K111" s="4"/>
      <c r="L111" s="4"/>
      <c r="M111" s="4"/>
      <c r="N111" s="4"/>
      <c r="O111" s="4"/>
      <c r="P111" s="4"/>
      <c r="R111" s="4"/>
    </row>
    <row r="112" spans="1:18" x14ac:dyDescent="0.45">
      <c r="A112" s="1"/>
      <c r="B112" s="1"/>
      <c r="C112" s="2"/>
      <c r="D112" s="1"/>
      <c r="E112" s="4"/>
      <c r="F112" s="4"/>
      <c r="H112" s="14"/>
      <c r="I112" s="4"/>
      <c r="J112" s="4"/>
      <c r="K112" s="4"/>
      <c r="L112" s="4"/>
      <c r="M112" s="4"/>
      <c r="N112" s="4"/>
      <c r="O112" s="4"/>
      <c r="P112" s="4"/>
      <c r="R112" s="4"/>
    </row>
    <row r="113" spans="1:18" x14ac:dyDescent="0.45">
      <c r="A113" s="1"/>
      <c r="B113" s="1"/>
      <c r="C113" s="2"/>
      <c r="D113" s="1"/>
      <c r="E113" s="4"/>
      <c r="F113" s="4"/>
      <c r="H113" s="14"/>
      <c r="I113" s="4"/>
      <c r="J113" s="4"/>
      <c r="K113" s="4"/>
      <c r="L113" s="4"/>
      <c r="M113" s="4"/>
      <c r="N113" s="4"/>
      <c r="O113" s="4"/>
      <c r="P113" s="4"/>
      <c r="R113" s="4"/>
    </row>
    <row r="114" spans="1:18" x14ac:dyDescent="0.45">
      <c r="A114" s="1"/>
      <c r="B114" s="1"/>
      <c r="C114" s="2"/>
      <c r="D114" s="1"/>
      <c r="E114" s="4"/>
      <c r="F114" s="4"/>
      <c r="H114" s="14"/>
      <c r="I114" s="4"/>
      <c r="J114" s="4"/>
      <c r="K114" s="4"/>
      <c r="L114" s="4"/>
      <c r="M114" s="4"/>
      <c r="N114" s="4"/>
      <c r="O114" s="4"/>
      <c r="P114" s="4"/>
      <c r="R114" s="4"/>
    </row>
    <row r="115" spans="1:18" x14ac:dyDescent="0.45">
      <c r="A115" s="1"/>
      <c r="B115" s="1"/>
      <c r="C115" s="2"/>
      <c r="D115" s="1"/>
      <c r="E115" s="4"/>
      <c r="F115" s="4"/>
      <c r="H115" s="14"/>
      <c r="I115" s="4"/>
      <c r="J115" s="4"/>
      <c r="K115" s="4"/>
      <c r="L115" s="4"/>
      <c r="M115" s="4"/>
      <c r="N115" s="4"/>
      <c r="O115" s="4"/>
      <c r="P115" s="4"/>
      <c r="R115" s="4"/>
    </row>
    <row r="116" spans="1:18" x14ac:dyDescent="0.45">
      <c r="A116" s="1"/>
      <c r="B116" s="1"/>
      <c r="C116" s="2"/>
      <c r="D116" s="1"/>
      <c r="E116" s="4"/>
      <c r="F116" s="4"/>
      <c r="H116" s="14"/>
      <c r="I116" s="4"/>
      <c r="J116" s="4"/>
      <c r="K116" s="4"/>
      <c r="L116" s="4"/>
      <c r="M116" s="4"/>
      <c r="N116" s="4"/>
      <c r="O116" s="4"/>
      <c r="P116" s="4"/>
      <c r="R116" s="4"/>
    </row>
    <row r="117" spans="1:18" x14ac:dyDescent="0.45">
      <c r="A117" s="1"/>
      <c r="B117" s="1"/>
      <c r="C117" s="2"/>
      <c r="D117" s="1"/>
      <c r="E117" s="4"/>
      <c r="F117" s="4"/>
      <c r="H117" s="14"/>
      <c r="I117" s="4"/>
      <c r="J117" s="4"/>
      <c r="K117" s="4"/>
      <c r="L117" s="4"/>
      <c r="M117" s="4"/>
      <c r="N117" s="4"/>
      <c r="O117" s="4"/>
      <c r="P117" s="4"/>
      <c r="R117" s="4"/>
    </row>
    <row r="118" spans="1:18" x14ac:dyDescent="0.45">
      <c r="A118" s="1"/>
      <c r="B118" s="1"/>
      <c r="C118" s="2"/>
      <c r="D118" s="1"/>
      <c r="E118" s="4"/>
      <c r="F118" s="4"/>
      <c r="H118" s="14"/>
      <c r="I118" s="4"/>
      <c r="J118" s="4"/>
      <c r="K118" s="4"/>
      <c r="L118" s="4"/>
      <c r="M118" s="4"/>
      <c r="N118" s="4"/>
      <c r="O118" s="4"/>
      <c r="P118" s="4"/>
      <c r="R118" s="4"/>
    </row>
    <row r="119" spans="1:18" x14ac:dyDescent="0.45">
      <c r="A119" s="1"/>
      <c r="B119" s="1"/>
      <c r="C119" s="2"/>
      <c r="D119" s="1"/>
      <c r="E119" s="4"/>
      <c r="F119" s="4"/>
      <c r="H119" s="14"/>
      <c r="I119" s="4"/>
      <c r="J119" s="4"/>
      <c r="K119" s="4"/>
      <c r="L119" s="4"/>
      <c r="M119" s="4"/>
      <c r="N119" s="4"/>
      <c r="O119" s="4"/>
      <c r="P119" s="4"/>
      <c r="R119" s="4"/>
    </row>
    <row r="120" spans="1:18" x14ac:dyDescent="0.45">
      <c r="A120" s="1"/>
      <c r="B120" s="1"/>
      <c r="C120" s="2"/>
      <c r="D120" s="1"/>
      <c r="E120" s="4"/>
      <c r="F120" s="4"/>
      <c r="H120" s="14"/>
      <c r="I120" s="4"/>
      <c r="J120" s="4"/>
      <c r="K120" s="4"/>
      <c r="L120" s="4"/>
      <c r="M120" s="4"/>
      <c r="N120" s="4"/>
      <c r="O120" s="4"/>
      <c r="P120" s="4"/>
      <c r="R120" s="4"/>
    </row>
    <row r="121" spans="1:18" x14ac:dyDescent="0.45">
      <c r="A121" s="1"/>
      <c r="B121" s="1"/>
      <c r="C121" s="2"/>
      <c r="D121" s="1"/>
      <c r="E121" s="4"/>
      <c r="F121" s="4"/>
      <c r="H121" s="14"/>
      <c r="I121" s="4"/>
      <c r="J121" s="4"/>
      <c r="K121" s="4"/>
      <c r="L121" s="4"/>
      <c r="M121" s="4"/>
      <c r="N121" s="4"/>
      <c r="O121" s="4"/>
      <c r="P121" s="4"/>
      <c r="R121" s="4"/>
    </row>
    <row r="122" spans="1:18" x14ac:dyDescent="0.45">
      <c r="A122" s="1"/>
      <c r="B122" s="1"/>
      <c r="C122" s="2"/>
      <c r="D122" s="1"/>
      <c r="E122" s="4"/>
      <c r="F122" s="4"/>
      <c r="H122" s="14"/>
      <c r="I122" s="4"/>
      <c r="J122" s="4"/>
      <c r="K122" s="4"/>
      <c r="L122" s="4"/>
      <c r="M122" s="4"/>
      <c r="N122" s="4"/>
      <c r="O122" s="4"/>
      <c r="P122" s="4"/>
      <c r="R122" s="4"/>
    </row>
    <row r="123" spans="1:18" x14ac:dyDescent="0.45">
      <c r="A123" s="1"/>
      <c r="B123" s="1"/>
      <c r="C123" s="2"/>
      <c r="D123" s="1"/>
      <c r="E123" s="4"/>
      <c r="F123" s="4"/>
      <c r="H123" s="14"/>
      <c r="I123" s="4"/>
      <c r="J123" s="4"/>
      <c r="K123" s="4"/>
      <c r="L123" s="4"/>
      <c r="M123" s="4"/>
      <c r="N123" s="4"/>
      <c r="O123" s="4"/>
      <c r="P123" s="4"/>
      <c r="R123" s="4"/>
    </row>
    <row r="124" spans="1:18" x14ac:dyDescent="0.45">
      <c r="A124" s="1"/>
      <c r="B124" s="1"/>
      <c r="C124" s="2"/>
      <c r="D124" s="1"/>
      <c r="E124" s="4"/>
      <c r="F124" s="4"/>
      <c r="H124" s="14"/>
      <c r="I124" s="4"/>
      <c r="J124" s="4"/>
      <c r="K124" s="4"/>
      <c r="L124" s="4"/>
      <c r="M124" s="4"/>
      <c r="N124" s="4"/>
      <c r="O124" s="4"/>
      <c r="P124" s="4"/>
      <c r="R124" s="4"/>
    </row>
    <row r="125" spans="1:18" x14ac:dyDescent="0.45">
      <c r="A125" s="1"/>
      <c r="B125" s="1"/>
      <c r="C125" s="2"/>
      <c r="D125" s="1"/>
      <c r="E125" s="4"/>
      <c r="F125" s="4"/>
      <c r="H125" s="14"/>
      <c r="I125" s="4"/>
      <c r="J125" s="4"/>
      <c r="K125" s="4"/>
      <c r="L125" s="4"/>
      <c r="M125" s="4"/>
      <c r="N125" s="4"/>
      <c r="O125" s="4"/>
      <c r="P125" s="4"/>
      <c r="R125" s="4"/>
    </row>
    <row r="126" spans="1:18" x14ac:dyDescent="0.45">
      <c r="A126" s="1"/>
      <c r="B126" s="1"/>
      <c r="C126" s="2"/>
      <c r="D126" s="1"/>
      <c r="E126" s="4"/>
      <c r="F126" s="4"/>
      <c r="H126" s="14"/>
      <c r="I126" s="4"/>
      <c r="J126" s="4"/>
      <c r="K126" s="4"/>
      <c r="L126" s="4"/>
      <c r="M126" s="4"/>
      <c r="N126" s="4"/>
      <c r="O126" s="4"/>
      <c r="P126" s="4"/>
      <c r="R126" s="4"/>
    </row>
    <row r="127" spans="1:18" x14ac:dyDescent="0.45">
      <c r="A127" s="1"/>
      <c r="B127" s="1"/>
      <c r="C127" s="2"/>
      <c r="D127" s="1"/>
      <c r="E127" s="4"/>
      <c r="F127" s="4"/>
      <c r="H127" s="14"/>
      <c r="I127" s="4"/>
      <c r="J127" s="4"/>
      <c r="K127" s="4"/>
      <c r="L127" s="4"/>
      <c r="M127" s="4"/>
      <c r="N127" s="4"/>
      <c r="O127" s="4"/>
      <c r="P127" s="4"/>
      <c r="R127" s="4"/>
    </row>
  </sheetData>
  <conditionalFormatting sqref="A44:A52">
    <cfRule type="expression" dxfId="111" priority="130">
      <formula>$E44="F"</formula>
    </cfRule>
    <cfRule type="expression" dxfId="110" priority="131">
      <formula>$E44="Q"</formula>
    </cfRule>
  </conditionalFormatting>
  <conditionalFormatting sqref="A53:A55">
    <cfRule type="expression" dxfId="109" priority="124">
      <formula>#REF!="F"</formula>
    </cfRule>
    <cfRule type="expression" dxfId="108" priority="125">
      <formula>#REF!="Q"</formula>
    </cfRule>
  </conditionalFormatting>
  <conditionalFormatting sqref="A94">
    <cfRule type="expression" dxfId="107" priority="96">
      <formula>$E94="F"</formula>
    </cfRule>
    <cfRule type="expression" dxfId="106" priority="97">
      <formula>$E94="Q"</formula>
    </cfRule>
  </conditionalFormatting>
  <conditionalFormatting sqref="A41:A43">
    <cfRule type="expression" dxfId="105" priority="138">
      <formula>$E41="F"</formula>
    </cfRule>
    <cfRule type="expression" dxfId="104" priority="139">
      <formula>$E41="Q"</formula>
    </cfRule>
  </conditionalFormatting>
  <conditionalFormatting sqref="A62:A64">
    <cfRule type="expression" dxfId="103" priority="121">
      <formula>$E62="R1"</formula>
    </cfRule>
    <cfRule type="expression" dxfId="102" priority="122">
      <formula>$E62="F"</formula>
    </cfRule>
    <cfRule type="expression" dxfId="101" priority="123">
      <formula>$E62="Q"</formula>
    </cfRule>
  </conditionalFormatting>
  <conditionalFormatting sqref="A91:A93">
    <cfRule type="expression" dxfId="100" priority="98">
      <formula>$E91="F"</formula>
    </cfRule>
    <cfRule type="expression" dxfId="99" priority="99">
      <formula>$E91="Q"</formula>
    </cfRule>
  </conditionalFormatting>
  <conditionalFormatting sqref="M98:M127">
    <cfRule type="cellIs" dxfId="88" priority="158" operator="between">
      <formula>2</formula>
      <formula>2</formula>
    </cfRule>
    <cfRule type="cellIs" dxfId="87" priority="159" operator="between">
      <formula>4</formula>
      <formula>4</formula>
    </cfRule>
    <cfRule type="cellIs" dxfId="86" priority="160" operator="between">
      <formula>6</formula>
      <formula>6</formula>
    </cfRule>
    <cfRule type="cellIs" dxfId="85" priority="161" operator="between">
      <formula>10</formula>
      <formula>10</formula>
    </cfRule>
  </conditionalFormatting>
  <conditionalFormatting sqref="I2:I6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6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6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7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7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7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7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D13">
    <cfRule type="expression" dxfId="84" priority="81">
      <formula>$E11="F"</formula>
    </cfRule>
    <cfRule type="expression" dxfId="83" priority="82">
      <formula>$E11="SF"</formula>
    </cfRule>
    <cfRule type="expression" dxfId="82" priority="83">
      <formula>$E11="QF"</formula>
    </cfRule>
    <cfRule type="expression" dxfId="81" priority="84">
      <formula>$E11="R16"</formula>
    </cfRule>
    <cfRule type="expression" dxfId="80" priority="85">
      <formula>$E11="R8"</formula>
    </cfRule>
  </conditionalFormatting>
  <conditionalFormatting sqref="C20:C22">
    <cfRule type="expression" dxfId="79" priority="79">
      <formula>$E20="F"</formula>
    </cfRule>
    <cfRule type="expression" dxfId="78" priority="80">
      <formula>$E20="Q"</formula>
    </cfRule>
  </conditionalFormatting>
  <conditionalFormatting sqref="B20:B22">
    <cfRule type="expression" dxfId="77" priority="76">
      <formula>$E20="Q"</formula>
    </cfRule>
    <cfRule type="expression" dxfId="76" priority="77">
      <formula>$E20="G"</formula>
    </cfRule>
    <cfRule type="expression" dxfId="75" priority="78">
      <formula>$E20="B"</formula>
    </cfRule>
  </conditionalFormatting>
  <conditionalFormatting sqref="D20:D22">
    <cfRule type="expression" dxfId="74" priority="73">
      <formula>$E20="Q"</formula>
    </cfRule>
    <cfRule type="expression" dxfId="73" priority="74">
      <formula>$E20="G"</formula>
    </cfRule>
    <cfRule type="expression" dxfId="72" priority="75">
      <formula>$E20="B"</formula>
    </cfRule>
  </conditionalFormatting>
  <conditionalFormatting sqref="B23:B25 D23:D25">
    <cfRule type="expression" dxfId="71" priority="71">
      <formula>#REF!="F"</formula>
    </cfRule>
    <cfRule type="expression" dxfId="70" priority="72">
      <formula>#REF!="Q"</formula>
    </cfRule>
  </conditionalFormatting>
  <conditionalFormatting sqref="B26:B28 D26:D28">
    <cfRule type="expression" dxfId="69" priority="69">
      <formula>#REF!="F"</formula>
    </cfRule>
    <cfRule type="expression" dxfId="68" priority="70">
      <formula>#REF!="Q"</formula>
    </cfRule>
  </conditionalFormatting>
  <conditionalFormatting sqref="B30 D30">
    <cfRule type="expression" dxfId="67" priority="67">
      <formula>#REF!="F"</formula>
    </cfRule>
    <cfRule type="expression" dxfId="66" priority="68">
      <formula>#REF!="Q"</formula>
    </cfRule>
  </conditionalFormatting>
  <conditionalFormatting sqref="B29 B31 D29 D31">
    <cfRule type="expression" dxfId="65" priority="65">
      <formula>#REF!="F"</formula>
    </cfRule>
    <cfRule type="expression" dxfId="64" priority="66">
      <formula>#REF!="Q"</formula>
    </cfRule>
  </conditionalFormatting>
  <conditionalFormatting sqref="B32:B34 D32:D34">
    <cfRule type="expression" dxfId="63" priority="63">
      <formula>#REF!="F"</formula>
    </cfRule>
    <cfRule type="expression" dxfId="62" priority="64">
      <formula>#REF!="Q"</formula>
    </cfRule>
  </conditionalFormatting>
  <conditionalFormatting sqref="B35:B37 D35:D37">
    <cfRule type="expression" dxfId="61" priority="61">
      <formula>#REF!="F"</formula>
    </cfRule>
    <cfRule type="expression" dxfId="60" priority="62">
      <formula>#REF!="Q"</formula>
    </cfRule>
  </conditionalFormatting>
  <conditionalFormatting sqref="B38:B40 D38:D40">
    <cfRule type="expression" dxfId="59" priority="59">
      <formula>#REF!="F"</formula>
    </cfRule>
    <cfRule type="expression" dxfId="58" priority="60">
      <formula>#REF!="Q"</formula>
    </cfRule>
  </conditionalFormatting>
  <conditionalFormatting sqref="D41:D43 B41 B43">
    <cfRule type="expression" dxfId="57" priority="57">
      <formula>#REF!="F"</formula>
    </cfRule>
    <cfRule type="expression" dxfId="56" priority="58">
      <formula>#REF!="Q"</formula>
    </cfRule>
  </conditionalFormatting>
  <conditionalFormatting sqref="B42">
    <cfRule type="expression" dxfId="55" priority="55">
      <formula>#REF!="F"</formula>
    </cfRule>
    <cfRule type="expression" dxfId="54" priority="56">
      <formula>#REF!="Q"</formula>
    </cfRule>
  </conditionalFormatting>
  <conditionalFormatting sqref="D44:D46">
    <cfRule type="expression" dxfId="53" priority="53">
      <formula>#REF!="F"</formula>
    </cfRule>
    <cfRule type="expression" dxfId="52" priority="54">
      <formula>#REF!="Q"</formula>
    </cfRule>
  </conditionalFormatting>
  <conditionalFormatting sqref="B44 B46">
    <cfRule type="expression" dxfId="51" priority="51">
      <formula>#REF!="F"</formula>
    </cfRule>
    <cfRule type="expression" dxfId="50" priority="52">
      <formula>#REF!="Q"</formula>
    </cfRule>
  </conditionalFormatting>
  <conditionalFormatting sqref="B45">
    <cfRule type="expression" dxfId="49" priority="49">
      <formula>#REF!="F"</formula>
    </cfRule>
    <cfRule type="expression" dxfId="48" priority="50">
      <formula>#REF!="Q"</formula>
    </cfRule>
  </conditionalFormatting>
  <conditionalFormatting sqref="D47:D49">
    <cfRule type="expression" dxfId="47" priority="47">
      <formula>#REF!="F"</formula>
    </cfRule>
    <cfRule type="expression" dxfId="46" priority="48">
      <formula>#REF!="Q"</formula>
    </cfRule>
  </conditionalFormatting>
  <conditionalFormatting sqref="B48">
    <cfRule type="expression" dxfId="45" priority="45">
      <formula>#REF!="F"</formula>
    </cfRule>
    <cfRule type="expression" dxfId="44" priority="46">
      <formula>#REF!="Q"</formula>
    </cfRule>
  </conditionalFormatting>
  <conditionalFormatting sqref="B47 B49">
    <cfRule type="expression" dxfId="43" priority="43">
      <formula>#REF!="F"</formula>
    </cfRule>
    <cfRule type="expression" dxfId="42" priority="44">
      <formula>#REF!="Q"</formula>
    </cfRule>
  </conditionalFormatting>
  <conditionalFormatting sqref="D50:D52">
    <cfRule type="expression" dxfId="41" priority="41">
      <formula>#REF!="F"</formula>
    </cfRule>
    <cfRule type="expression" dxfId="40" priority="42">
      <formula>#REF!="Q"</formula>
    </cfRule>
  </conditionalFormatting>
  <conditionalFormatting sqref="B50 B52">
    <cfRule type="expression" dxfId="39" priority="39">
      <formula>#REF!="F"</formula>
    </cfRule>
    <cfRule type="expression" dxfId="38" priority="40">
      <formula>#REF!="Q"</formula>
    </cfRule>
  </conditionalFormatting>
  <conditionalFormatting sqref="B51">
    <cfRule type="expression" dxfId="37" priority="37">
      <formula>#REF!="F"</formula>
    </cfRule>
    <cfRule type="expression" dxfId="36" priority="38">
      <formula>#REF!="Q"</formula>
    </cfRule>
  </conditionalFormatting>
  <conditionalFormatting sqref="D68:D70 B68:B70">
    <cfRule type="expression" dxfId="35" priority="35">
      <formula>#REF!="F"</formula>
    </cfRule>
    <cfRule type="expression" dxfId="34" priority="36">
      <formula>#REF!="Q"</formula>
    </cfRule>
  </conditionalFormatting>
  <conditionalFormatting sqref="B74:D76">
    <cfRule type="expression" dxfId="33" priority="32">
      <formula>$E74="Q"</formula>
    </cfRule>
    <cfRule type="expression" dxfId="32" priority="33">
      <formula>$E74="G"</formula>
    </cfRule>
    <cfRule type="expression" dxfId="31" priority="34">
      <formula>$E74="B"</formula>
    </cfRule>
  </conditionalFormatting>
  <conditionalFormatting sqref="B77:B79">
    <cfRule type="expression" dxfId="30" priority="29">
      <formula>#REF!="R1"</formula>
    </cfRule>
    <cfRule type="expression" dxfId="29" priority="30">
      <formula>#REF!="F"</formula>
    </cfRule>
    <cfRule type="expression" dxfId="28" priority="31">
      <formula>#REF!="Q"</formula>
    </cfRule>
  </conditionalFormatting>
  <conditionalFormatting sqref="D77:D79">
    <cfRule type="expression" dxfId="27" priority="26">
      <formula>#REF!="R1"</formula>
    </cfRule>
    <cfRule type="expression" dxfId="26" priority="27">
      <formula>#REF!="F"</formula>
    </cfRule>
    <cfRule type="expression" dxfId="25" priority="28">
      <formula>#REF!="Q"</formula>
    </cfRule>
  </conditionalFormatting>
  <conditionalFormatting sqref="C77:C79">
    <cfRule type="expression" dxfId="24" priority="23">
      <formula>$E77="R1"</formula>
    </cfRule>
    <cfRule type="expression" dxfId="23" priority="24">
      <formula>$E77="F"</formula>
    </cfRule>
    <cfRule type="expression" dxfId="22" priority="25">
      <formula>$E77="Q"</formula>
    </cfRule>
  </conditionalFormatting>
  <conditionalFormatting sqref="B80:B82">
    <cfRule type="expression" dxfId="21" priority="20">
      <formula>#REF!="R1"</formula>
    </cfRule>
    <cfRule type="expression" dxfId="20" priority="21">
      <formula>#REF!="F"</formula>
    </cfRule>
    <cfRule type="expression" dxfId="19" priority="22">
      <formula>#REF!="Q"</formula>
    </cfRule>
  </conditionalFormatting>
  <conditionalFormatting sqref="D80:D82">
    <cfRule type="expression" dxfId="18" priority="17">
      <formula>#REF!="R1"</formula>
    </cfRule>
    <cfRule type="expression" dxfId="17" priority="18">
      <formula>#REF!="F"</formula>
    </cfRule>
    <cfRule type="expression" dxfId="16" priority="19">
      <formula>#REF!="Q"</formula>
    </cfRule>
  </conditionalFormatting>
  <conditionalFormatting sqref="B83:B85">
    <cfRule type="expression" dxfId="15" priority="14">
      <formula>#REF!="R1"</formula>
    </cfRule>
    <cfRule type="expression" dxfId="14" priority="15">
      <formula>#REF!="F"</formula>
    </cfRule>
    <cfRule type="expression" dxfId="13" priority="16">
      <formula>#REF!="Q"</formula>
    </cfRule>
  </conditionalFormatting>
  <conditionalFormatting sqref="D83:D85">
    <cfRule type="expression" dxfId="12" priority="11">
      <formula>#REF!="R1"</formula>
    </cfRule>
    <cfRule type="expression" dxfId="11" priority="12">
      <formula>#REF!="F"</formula>
    </cfRule>
    <cfRule type="expression" dxfId="10" priority="13">
      <formula>#REF!="Q"</formula>
    </cfRule>
  </conditionalFormatting>
  <conditionalFormatting sqref="B92:D93">
    <cfRule type="expression" dxfId="9" priority="9">
      <formula>$E92="Q"</formula>
    </cfRule>
    <cfRule type="expression" dxfId="8" priority="10">
      <formula>$E92="F"</formula>
    </cfRule>
  </conditionalFormatting>
  <conditionalFormatting sqref="M53:M55">
    <cfRule type="cellIs" dxfId="7" priority="5" operator="between">
      <formula>10</formula>
      <formula>10</formula>
    </cfRule>
    <cfRule type="cellIs" dxfId="6" priority="6" operator="between">
      <formula>6</formula>
      <formula>6</formula>
    </cfRule>
    <cfRule type="cellIs" dxfId="5" priority="7" operator="between">
      <formula>2</formula>
      <formula>2</formula>
    </cfRule>
    <cfRule type="cellIs" dxfId="4" priority="8" operator="between">
      <formula>4</formula>
      <formula>4</formula>
    </cfRule>
  </conditionalFormatting>
  <conditionalFormatting sqref="M56:M61">
    <cfRule type="cellIs" dxfId="3" priority="1" operator="between">
      <formula>10</formula>
      <formula>10</formula>
    </cfRule>
    <cfRule type="cellIs" dxfId="2" priority="2" operator="between">
      <formula>6</formula>
      <formula>6</formula>
    </cfRule>
    <cfRule type="cellIs" dxfId="1" priority="3" operator="between">
      <formula>2</formula>
      <formula>2</formula>
    </cfRule>
    <cfRule type="cellIs" dxfId="0" priority="4" operator="between">
      <formula>4</formula>
      <formula>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Scratch</vt:lpstr>
      <vt:lpstr>Tempo</vt:lpstr>
      <vt:lpstr>Elim</vt:lpstr>
      <vt:lpstr>Points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 Bremer</dc:creator>
  <cp:lastModifiedBy>Sam Bremer</cp:lastModifiedBy>
  <dcterms:created xsi:type="dcterms:W3CDTF">2025-09-01T03:48:58Z</dcterms:created>
  <dcterms:modified xsi:type="dcterms:W3CDTF">2026-04-01T00:46:12Z</dcterms:modified>
</cp:coreProperties>
</file>