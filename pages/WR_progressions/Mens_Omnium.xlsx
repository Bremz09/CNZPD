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96800A10-B819-4141-98BD-8F555476644A}" xr6:coauthVersionLast="47" xr6:coauthVersionMax="47" xr10:uidLastSave="{00000000-0000-0000-0000-000000000000}"/>
  <bookViews>
    <workbookView xWindow="-98" yWindow="-98" windowWidth="19396" windowHeight="11475" activeTab="2" xr2:uid="{8F2B8F41-998D-4BB8-BE11-A97939F5BC1E}"/>
  </bookViews>
  <sheets>
    <sheet name="Scratch" sheetId="1" r:id="rId1"/>
    <sheet name="Tempo" sheetId="2" r:id="rId2"/>
    <sheet name="Elim" sheetId="3" r:id="rId3"/>
    <sheet name="Points" sheetId="4" r:id="rId4"/>
  </sheets>
  <definedNames>
    <definedName name="_xlnm._FilterDatabase" localSheetId="3" hidden="1">Tempo!$A$1:$L$94</definedName>
    <definedName name="_xlnm._FilterDatabase" localSheetId="0" hidden="1">Scratch!#REF!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2" i="2"/>
  <c r="Q3" i="4"/>
  <c r="Q4" i="4"/>
  <c r="Q2" i="4"/>
  <c r="Q127" i="4"/>
  <c r="Q126" i="4"/>
  <c r="Q125" i="4"/>
  <c r="K127" i="2"/>
  <c r="K126" i="2"/>
  <c r="Q124" i="4"/>
  <c r="Q123" i="4"/>
  <c r="Q122" i="4"/>
  <c r="Q121" i="4"/>
  <c r="Q120" i="4"/>
  <c r="Q119" i="4"/>
  <c r="Q118" i="4"/>
  <c r="Q117" i="4"/>
  <c r="Q116" i="4"/>
  <c r="Q115" i="4"/>
  <c r="Q114" i="4"/>
  <c r="Q113" i="4"/>
  <c r="K117" i="2"/>
  <c r="K118" i="2"/>
  <c r="K119" i="2"/>
  <c r="K120" i="2"/>
  <c r="K121" i="2"/>
  <c r="K122" i="2"/>
  <c r="K123" i="2"/>
  <c r="K124" i="2"/>
  <c r="K125" i="2"/>
  <c r="K116" i="2"/>
  <c r="Q112" i="4"/>
  <c r="Q111" i="4"/>
  <c r="Q110" i="4"/>
  <c r="Q109" i="4"/>
  <c r="Q108" i="4"/>
  <c r="Q107" i="4"/>
  <c r="Q104" i="4"/>
  <c r="Q105" i="4"/>
  <c r="Q106" i="4"/>
  <c r="Q103" i="4"/>
  <c r="Q102" i="4"/>
  <c r="Q101" i="4"/>
</calcChain>
</file>

<file path=xl/sharedStrings.xml><?xml version="1.0" encoding="utf-8"?>
<sst xmlns="http://schemas.openxmlformats.org/spreadsheetml/2006/main" count="1390" uniqueCount="162">
  <si>
    <t>Location</t>
  </si>
  <si>
    <t>Year</t>
  </si>
  <si>
    <t>Date</t>
  </si>
  <si>
    <t>Event</t>
  </si>
  <si>
    <t>Country</t>
  </si>
  <si>
    <t>Rank</t>
  </si>
  <si>
    <t>P.Laps</t>
  </si>
  <si>
    <t>Total</t>
  </si>
  <si>
    <t>Avg Speed</t>
  </si>
  <si>
    <t>Konya</t>
  </si>
  <si>
    <t>NC</t>
  </si>
  <si>
    <t>MORA VEDRI Sebastian</t>
  </si>
  <si>
    <t>TORRES BARCELO Albert</t>
  </si>
  <si>
    <t>ESP</t>
  </si>
  <si>
    <t>HOPPEZAK Vincent</t>
  </si>
  <si>
    <t>NED</t>
  </si>
  <si>
    <t>BEL</t>
  </si>
  <si>
    <t>Ballerup</t>
  </si>
  <si>
    <t>WCH</t>
  </si>
  <si>
    <t>KLUGE Roger</t>
  </si>
  <si>
    <t>TEUTENBERG Tim Torn</t>
  </si>
  <si>
    <t>GER</t>
  </si>
  <si>
    <t>DE VYLDER Lindsay</t>
  </si>
  <si>
    <t>LARSEN Niklas</t>
  </si>
  <si>
    <t>DEN</t>
  </si>
  <si>
    <t>Paris</t>
  </si>
  <si>
    <t>OLY</t>
  </si>
  <si>
    <t>LEITÃO Iúri</t>
  </si>
  <si>
    <t>ALVES OLIVEIRA Rui Filipe</t>
  </si>
  <si>
    <t>POR</t>
  </si>
  <si>
    <t>CONSONNI Simone</t>
  </si>
  <si>
    <t>VIVIANI Elia</t>
  </si>
  <si>
    <t>ITA</t>
  </si>
  <si>
    <t>Milton</t>
  </si>
  <si>
    <t>GHYS Robbe</t>
  </si>
  <si>
    <t>DORENBOS Yanne</t>
  </si>
  <si>
    <t>VAN SCHIP Jan Willem</t>
  </si>
  <si>
    <t>Hong Kong</t>
  </si>
  <si>
    <t>GATE Aaron</t>
  </si>
  <si>
    <t>STEWART Campbell</t>
  </si>
  <si>
    <t>NZL</t>
  </si>
  <si>
    <t>HASHIMOTO Eiya</t>
  </si>
  <si>
    <t>KUBOKI Kazushige</t>
  </si>
  <si>
    <t>JPN</t>
  </si>
  <si>
    <t>Adelaide</t>
  </si>
  <si>
    <t>WOOD Oliver</t>
  </si>
  <si>
    <t>GBR</t>
  </si>
  <si>
    <t>Glasgow</t>
  </si>
  <si>
    <t>STEWART Mark</t>
  </si>
  <si>
    <t>BCC</t>
  </si>
  <si>
    <t>BOUDAT Thomas</t>
  </si>
  <si>
    <t>THOMAS Benjamin</t>
  </si>
  <si>
    <t>FRA</t>
  </si>
  <si>
    <t>Cairo</t>
  </si>
  <si>
    <t>SEXTON Thomas</t>
  </si>
  <si>
    <t>Jakarta</t>
  </si>
  <si>
    <t>GRONDIN Donavan</t>
  </si>
  <si>
    <t>HAYTER Ethan</t>
  </si>
  <si>
    <t>Cali</t>
  </si>
  <si>
    <t>LAMON Francesco</t>
  </si>
  <si>
    <t>PEÑA SALAS Ricardo</t>
  </si>
  <si>
    <t>MEX</t>
  </si>
  <si>
    <t>ARANGO CARVAJAL Juan Esteban</t>
  </si>
  <si>
    <t>COL</t>
  </si>
  <si>
    <t>IMAMURA Shunsuke</t>
  </si>
  <si>
    <t>WALLS Matthew</t>
  </si>
  <si>
    <t>Roubaix</t>
  </si>
  <si>
    <t>CHI</t>
  </si>
  <si>
    <t>Tokyo</t>
  </si>
  <si>
    <t>St Petersburg</t>
  </si>
  <si>
    <t>RUS</t>
  </si>
  <si>
    <t>Berlin</t>
  </si>
  <si>
    <t>Brisbane</t>
  </si>
  <si>
    <t>WELSFORD Samuel</t>
  </si>
  <si>
    <t>MEYER Cameron</t>
  </si>
  <si>
    <t>AUS</t>
  </si>
  <si>
    <t>Cambridge</t>
  </si>
  <si>
    <t>Minsk</t>
  </si>
  <si>
    <t>Pruszkow</t>
  </si>
  <si>
    <t>Sprints Won</t>
  </si>
  <si>
    <t>Sprints Scored</t>
  </si>
  <si>
    <t>Name</t>
  </si>
  <si>
    <t>Age</t>
  </si>
  <si>
    <t>WALSH Liam</t>
  </si>
  <si>
    <t>NILSSON JULIEN Oscar</t>
  </si>
  <si>
    <t>KOONTZ Grant</t>
  </si>
  <si>
    <t>STR</t>
  </si>
  <si>
    <t>TIN</t>
  </si>
  <si>
    <t>CRISTA Daniel</t>
  </si>
  <si>
    <t>ROU</t>
  </si>
  <si>
    <t>TSISHKOU Raman</t>
  </si>
  <si>
    <t>BLR</t>
  </si>
  <si>
    <t>BGT</t>
  </si>
  <si>
    <t>VOLIKAKIS Christos</t>
  </si>
  <si>
    <t>GRE</t>
  </si>
  <si>
    <t>London</t>
  </si>
  <si>
    <t>van SCHIP Jan Willem</t>
  </si>
  <si>
    <t>BARRY Ashlin</t>
  </si>
  <si>
    <t>USA</t>
  </si>
  <si>
    <t>WIGGINS Ben</t>
  </si>
  <si>
    <t>HEIJNEN Philip</t>
  </si>
  <si>
    <t>NILSSON-JULIEN Oscar</t>
  </si>
  <si>
    <t>van den BOSSCHE Fabio</t>
  </si>
  <si>
    <t>KOJIMA Naoki</t>
  </si>
  <si>
    <t>VONEŠ Jan</t>
  </si>
  <si>
    <t>CZE</t>
  </si>
  <si>
    <t>LANGE Colby</t>
  </si>
  <si>
    <t>CWD</t>
  </si>
  <si>
    <t>HOOVER Gavin</t>
  </si>
  <si>
    <t>Apeldoorn</t>
  </si>
  <si>
    <t>MOORE Peter</t>
  </si>
  <si>
    <t>SYRITSA Gleb</t>
  </si>
  <si>
    <t>ZAKHAROV Artyom</t>
  </si>
  <si>
    <t>KAZ</t>
  </si>
  <si>
    <t>PRADO JUAREZ Ignacio De Jesus</t>
  </si>
  <si>
    <t>LEUNG Ka Yu</t>
  </si>
  <si>
    <t>HKG</t>
  </si>
  <si>
    <t>GEE Derek</t>
  </si>
  <si>
    <t>CAN</t>
  </si>
  <si>
    <t>BERTAZZO Liam</t>
  </si>
  <si>
    <t>IMHOF Claudio</t>
  </si>
  <si>
    <t>SUI</t>
  </si>
  <si>
    <t>MURPHY Jack Bernard</t>
  </si>
  <si>
    <t>IRL</t>
  </si>
  <si>
    <t>BIBIC Dylan</t>
  </si>
  <si>
    <t>HANSEN Tobias</t>
  </si>
  <si>
    <t>DONEGÀ Matteo</t>
  </si>
  <si>
    <t>STANISZEWSKI Daniel</t>
  </si>
  <si>
    <t>POL</t>
  </si>
  <si>
    <t>SCHIR Thery</t>
  </si>
  <si>
    <t>Scratch</t>
  </si>
  <si>
    <t>Tempo</t>
  </si>
  <si>
    <t>Elimination</t>
  </si>
  <si>
    <t>Sub Total</t>
  </si>
  <si>
    <t>Final</t>
  </si>
  <si>
    <t>de VYLDER Lindsay</t>
  </si>
  <si>
    <t>van AERT Bernard Benyamin</t>
  </si>
  <si>
    <t>INA</t>
  </si>
  <si>
    <t>ARRIAGADA PIZARRO Cristian</t>
  </si>
  <si>
    <t>KARALIOK Yauheni</t>
  </si>
  <si>
    <t>Points Total</t>
  </si>
  <si>
    <t>OLIVEIRA Ivo</t>
  </si>
  <si>
    <t>SAJNOK Szymon</t>
  </si>
  <si>
    <t>OLIVEIRA Rui</t>
  </si>
  <si>
    <t>STASH Mamyr</t>
  </si>
  <si>
    <t>LOK</t>
  </si>
  <si>
    <t>Santiago</t>
  </si>
  <si>
    <t>PRADO Ignacio</t>
  </si>
  <si>
    <t>HOLLOWAY Daniel</t>
  </si>
  <si>
    <t>GUO Liang</t>
  </si>
  <si>
    <t>CHN</t>
  </si>
  <si>
    <t>GLADYSH Roman</t>
  </si>
  <si>
    <t>UKR</t>
  </si>
  <si>
    <t>SUTER Gael</t>
  </si>
  <si>
    <t>Manchester</t>
  </si>
  <si>
    <t>Los Angeles</t>
  </si>
  <si>
    <t>PARK Sanghoon</t>
  </si>
  <si>
    <t>KOR</t>
  </si>
  <si>
    <t>PEDERSEN Casper</t>
  </si>
  <si>
    <t>ZUAZUBISKAR GALLASTEGI Illart</t>
  </si>
  <si>
    <t>VON FOLSACH Casper</t>
  </si>
  <si>
    <t>AUGENSTEIN Moritz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</si>
</sst>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14" fontId="0" fillId="0" borderId="0" xfId="0" applyNumberFormat="1"/>
    <xf numFmtId="2" fontId="2" fillId="2" borderId="1" xfId="0" applyNumberFormat="1" applyFont="1" applyFill="1" applyBorder="1"/>
    <xf numFmtId="0" fontId="0" fillId="0" borderId="2" xfId="0" applyBorder="1"/>
    <xf numFmtId="0" fontId="0" fillId="3" borderId="0" xfId="0" applyFill="1"/>
    <xf numFmtId="0" fontId="0" fillId="0" borderId="1" xfId="0" applyBorder="1"/>
    <xf numFmtId="14" fontId="0" fillId="0" borderId="1" xfId="0" applyNumberFormat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0" borderId="3" xfId="0" applyBorder="1"/>
    <xf numFmtId="14" fontId="0" fillId="2" borderId="0" xfId="0" applyNumberFormat="1" applyFill="1"/>
    <xf numFmtId="0" fontId="0" fillId="2" borderId="1" xfId="0" applyFill="1" applyBorder="1"/>
    <xf numFmtId="164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left" vertical="center"/>
    </xf>
    <xf numFmtId="14" fontId="0" fillId="2" borderId="1" xfId="0" applyNumberFormat="1" applyFill="1" applyBorder="1"/>
    <xf numFmtId="0" fontId="0" fillId="3" borderId="3" xfId="0" applyFill="1" applyBorder="1"/>
    <xf numFmtId="0" fontId="0" fillId="2" borderId="3" xfId="0" applyFill="1" applyBorder="1"/>
    <xf numFmtId="14" fontId="0" fillId="3" borderId="0" xfId="0" applyNumberFormat="1" applyFill="1"/>
    <xf numFmtId="2" fontId="0" fillId="0" borderId="0" xfId="0" applyNumberFormat="1"/>
    <xf numFmtId="0" fontId="4" fillId="0" borderId="1" xfId="0" applyFont="1" applyBorder="1"/>
    <xf numFmtId="0" fontId="1" fillId="0" borderId="1" xfId="0" applyFont="1" applyBorder="1"/>
    <xf numFmtId="1" fontId="0" fillId="0" borderId="1" xfId="0" applyNumberFormat="1" applyBorder="1"/>
    <xf numFmtId="2" fontId="2" fillId="2" borderId="0" xfId="0" applyNumberFormat="1" applyFont="1" applyFill="1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91"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23EE-F0D3-4856-AD89-ACB67D64024E}">
  <dimension ref="A1:H43"/>
  <sheetViews>
    <sheetView zoomScale="85" zoomScaleNormal="85" workbookViewId="0">
      <pane ySplit="1" topLeftCell="A2" activePane="bottomLeft" state="frozen"/>
      <selection activeCell="D1" sqref="D1"/>
      <selection pane="bottomLeft" activeCell="A2" sqref="A2:H2"/>
    </sheetView>
  </sheetViews>
  <sheetFormatPr defaultRowHeight="14.25" x14ac:dyDescent="0.45"/>
  <cols>
    <col min="3" max="3" width="10.265625" bestFit="1" customWidth="1"/>
    <col min="5" max="5" width="27.199218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81</v>
      </c>
      <c r="F1" t="s">
        <v>4</v>
      </c>
      <c r="G1" t="s">
        <v>82</v>
      </c>
      <c r="H1" t="s">
        <v>8</v>
      </c>
    </row>
    <row r="2" spans="1:8" x14ac:dyDescent="0.45">
      <c r="A2" s="13" t="s">
        <v>146</v>
      </c>
      <c r="B2" s="14">
        <v>2025</v>
      </c>
      <c r="C2" s="7">
        <v>45952</v>
      </c>
      <c r="D2" s="15" t="s">
        <v>18</v>
      </c>
      <c r="E2" s="6" t="s">
        <v>42</v>
      </c>
      <c r="F2" s="6" t="s">
        <v>43</v>
      </c>
      <c r="G2" s="3">
        <v>36.402739726027399</v>
      </c>
      <c r="H2">
        <v>57.143000000000001</v>
      </c>
    </row>
    <row r="3" spans="1:8" x14ac:dyDescent="0.45">
      <c r="A3" s="12" t="s">
        <v>9</v>
      </c>
      <c r="B3" s="12">
        <v>2025</v>
      </c>
      <c r="C3" s="7">
        <v>45730</v>
      </c>
      <c r="D3" s="12" t="s">
        <v>10</v>
      </c>
      <c r="E3" s="6" t="s">
        <v>83</v>
      </c>
      <c r="F3" s="6" t="s">
        <v>75</v>
      </c>
      <c r="G3" s="3">
        <v>23.80821917808219</v>
      </c>
      <c r="H3">
        <v>54.381</v>
      </c>
    </row>
    <row r="4" spans="1:8" x14ac:dyDescent="0.45">
      <c r="A4" s="6" t="s">
        <v>17</v>
      </c>
      <c r="B4" s="6">
        <v>2024</v>
      </c>
      <c r="C4" s="7">
        <v>45584</v>
      </c>
      <c r="D4" s="6" t="s">
        <v>18</v>
      </c>
      <c r="E4" s="6" t="s">
        <v>35</v>
      </c>
      <c r="F4" s="6" t="s">
        <v>15</v>
      </c>
      <c r="G4" s="3">
        <v>24.109589041095891</v>
      </c>
      <c r="H4">
        <v>56.515000000000001</v>
      </c>
    </row>
    <row r="5" spans="1:8" x14ac:dyDescent="0.45">
      <c r="A5" s="12" t="s">
        <v>25</v>
      </c>
      <c r="B5" s="12">
        <v>2024</v>
      </c>
      <c r="C5" s="7">
        <v>45512</v>
      </c>
      <c r="D5" s="12" t="s">
        <v>26</v>
      </c>
      <c r="E5" s="6" t="s">
        <v>51</v>
      </c>
      <c r="F5" s="6" t="s">
        <v>52</v>
      </c>
      <c r="G5" s="3">
        <v>28.926027397260274</v>
      </c>
      <c r="H5">
        <v>58.442</v>
      </c>
    </row>
    <row r="6" spans="1:8" x14ac:dyDescent="0.45">
      <c r="A6" s="6" t="s">
        <v>33</v>
      </c>
      <c r="B6" s="6">
        <v>2024</v>
      </c>
      <c r="C6" s="7">
        <v>45395</v>
      </c>
      <c r="D6" s="6" t="s">
        <v>10</v>
      </c>
      <c r="E6" s="6" t="s">
        <v>62</v>
      </c>
      <c r="F6" s="6" t="s">
        <v>63</v>
      </c>
      <c r="G6" s="3">
        <v>37.536986301369865</v>
      </c>
      <c r="H6">
        <v>56.25</v>
      </c>
    </row>
    <row r="7" spans="1:8" x14ac:dyDescent="0.45">
      <c r="A7" s="12" t="s">
        <v>37</v>
      </c>
      <c r="B7" s="12">
        <v>2024</v>
      </c>
      <c r="C7" s="7">
        <v>45368</v>
      </c>
      <c r="D7" s="8" t="s">
        <v>10</v>
      </c>
      <c r="E7" s="6" t="s">
        <v>84</v>
      </c>
      <c r="F7" s="6" t="s">
        <v>52</v>
      </c>
      <c r="G7" s="3">
        <v>21.473972602739725</v>
      </c>
      <c r="H7">
        <v>55.728000000000002</v>
      </c>
    </row>
    <row r="8" spans="1:8" x14ac:dyDescent="0.45">
      <c r="A8" s="12" t="s">
        <v>44</v>
      </c>
      <c r="B8" s="12">
        <v>2024</v>
      </c>
      <c r="C8" s="7">
        <v>45325</v>
      </c>
      <c r="D8" s="12" t="s">
        <v>10</v>
      </c>
      <c r="E8" s="6" t="s">
        <v>31</v>
      </c>
      <c r="F8" s="6" t="s">
        <v>32</v>
      </c>
      <c r="G8" s="3">
        <v>35.010958904109586</v>
      </c>
      <c r="H8">
        <v>53.892000000000003</v>
      </c>
    </row>
    <row r="9" spans="1:8" x14ac:dyDescent="0.45">
      <c r="A9" s="13" t="s">
        <v>47</v>
      </c>
      <c r="B9" s="14">
        <v>2023</v>
      </c>
      <c r="C9" s="7">
        <v>45144</v>
      </c>
      <c r="D9" s="15" t="s">
        <v>18</v>
      </c>
      <c r="E9" s="6" t="s">
        <v>27</v>
      </c>
      <c r="F9" s="6" t="s">
        <v>29</v>
      </c>
      <c r="G9" s="3">
        <v>25.109589041095891</v>
      </c>
      <c r="H9">
        <v>54.795000000000002</v>
      </c>
    </row>
    <row r="10" spans="1:8" x14ac:dyDescent="0.45">
      <c r="A10" s="6" t="s">
        <v>33</v>
      </c>
      <c r="B10" s="6">
        <v>2023</v>
      </c>
      <c r="C10" s="7">
        <v>45038</v>
      </c>
      <c r="D10" s="6" t="s">
        <v>10</v>
      </c>
      <c r="E10" s="6" t="s">
        <v>14</v>
      </c>
      <c r="F10" s="6" t="s">
        <v>49</v>
      </c>
      <c r="G10" s="3">
        <v>24.232876712328768</v>
      </c>
      <c r="H10">
        <v>55.901000000000003</v>
      </c>
    </row>
    <row r="11" spans="1:8" x14ac:dyDescent="0.45">
      <c r="A11" s="12" t="s">
        <v>53</v>
      </c>
      <c r="B11" s="12">
        <v>2023</v>
      </c>
      <c r="C11" s="16">
        <v>45001</v>
      </c>
      <c r="D11" s="12" t="s">
        <v>10</v>
      </c>
      <c r="E11" s="6" t="s">
        <v>50</v>
      </c>
      <c r="F11" s="6" t="s">
        <v>52</v>
      </c>
      <c r="G11" s="3">
        <v>29.073972602739726</v>
      </c>
      <c r="H11">
        <v>53.097000000000001</v>
      </c>
    </row>
    <row r="12" spans="1:8" x14ac:dyDescent="0.45">
      <c r="A12" s="12" t="s">
        <v>55</v>
      </c>
      <c r="B12" s="12">
        <v>2023</v>
      </c>
      <c r="C12" s="16">
        <v>44982</v>
      </c>
      <c r="D12" s="12" t="s">
        <v>10</v>
      </c>
      <c r="E12" s="12" t="s">
        <v>22</v>
      </c>
      <c r="F12" s="12" t="s">
        <v>16</v>
      </c>
      <c r="G12" s="3">
        <v>27.761643835616439</v>
      </c>
      <c r="H12">
        <v>52.173999999999999</v>
      </c>
    </row>
    <row r="13" spans="1:8" x14ac:dyDescent="0.45">
      <c r="A13" s="8" t="s">
        <v>25</v>
      </c>
      <c r="B13" s="8">
        <v>2022</v>
      </c>
      <c r="C13" s="9">
        <v>44849</v>
      </c>
      <c r="D13" s="8" t="s">
        <v>18</v>
      </c>
      <c r="E13" s="8" t="s">
        <v>38</v>
      </c>
      <c r="F13" s="8" t="s">
        <v>40</v>
      </c>
      <c r="G13" s="3">
        <v>31.906849315068492</v>
      </c>
    </row>
    <row r="14" spans="1:8" x14ac:dyDescent="0.45">
      <c r="A14" s="12" t="s">
        <v>58</v>
      </c>
      <c r="B14" s="12">
        <v>2022</v>
      </c>
      <c r="C14" s="16">
        <v>44752</v>
      </c>
      <c r="D14" s="12" t="s">
        <v>10</v>
      </c>
      <c r="E14" s="12" t="s">
        <v>85</v>
      </c>
      <c r="F14" s="12" t="s">
        <v>86</v>
      </c>
      <c r="G14" s="3">
        <v>28.465753424657535</v>
      </c>
      <c r="H14">
        <v>52.631999999999998</v>
      </c>
    </row>
    <row r="15" spans="1:8" x14ac:dyDescent="0.45">
      <c r="A15" s="8" t="s">
        <v>33</v>
      </c>
      <c r="B15" s="8">
        <v>2022</v>
      </c>
      <c r="C15" s="9">
        <v>44696</v>
      </c>
      <c r="D15" s="8" t="s">
        <v>10</v>
      </c>
      <c r="E15" s="8" t="s">
        <v>57</v>
      </c>
      <c r="F15" s="8" t="s">
        <v>46</v>
      </c>
      <c r="G15" s="3">
        <v>23.671232876712327</v>
      </c>
      <c r="H15">
        <v>53.097000000000001</v>
      </c>
    </row>
    <row r="16" spans="1:8" x14ac:dyDescent="0.45">
      <c r="A16" s="12" t="s">
        <v>47</v>
      </c>
      <c r="B16" s="12">
        <v>2022</v>
      </c>
      <c r="C16" s="16">
        <v>44675</v>
      </c>
      <c r="D16" s="12" t="s">
        <v>10</v>
      </c>
      <c r="E16" s="12" t="s">
        <v>45</v>
      </c>
      <c r="F16" s="12" t="s">
        <v>87</v>
      </c>
      <c r="G16" s="3">
        <v>26.427397260273974</v>
      </c>
      <c r="H16">
        <v>54.545000000000002</v>
      </c>
    </row>
    <row r="17" spans="1:8" x14ac:dyDescent="0.45">
      <c r="A17" s="8" t="s">
        <v>66</v>
      </c>
      <c r="B17" s="8">
        <v>2021</v>
      </c>
      <c r="C17" s="9">
        <v>44492</v>
      </c>
      <c r="D17" s="8" t="s">
        <v>18</v>
      </c>
      <c r="E17" s="8" t="s">
        <v>57</v>
      </c>
      <c r="F17" s="8" t="s">
        <v>46</v>
      </c>
      <c r="G17" s="3">
        <v>23.112328767123287</v>
      </c>
      <c r="H17">
        <v>55.47</v>
      </c>
    </row>
    <row r="18" spans="1:8" x14ac:dyDescent="0.45">
      <c r="A18" s="12" t="s">
        <v>58</v>
      </c>
      <c r="B18" s="12">
        <v>2021</v>
      </c>
      <c r="C18" s="16">
        <v>44451</v>
      </c>
      <c r="D18" s="12" t="s">
        <v>10</v>
      </c>
      <c r="E18" s="12" t="s">
        <v>88</v>
      </c>
      <c r="F18" s="12" t="s">
        <v>89</v>
      </c>
      <c r="G18" s="3">
        <v>30.668493150684931</v>
      </c>
      <c r="H18">
        <v>51.551000000000002</v>
      </c>
    </row>
    <row r="19" spans="1:8" x14ac:dyDescent="0.45">
      <c r="A19" s="12" t="s">
        <v>68</v>
      </c>
      <c r="B19" s="12">
        <v>2021</v>
      </c>
      <c r="C19" s="7">
        <v>44413</v>
      </c>
      <c r="D19" s="12" t="s">
        <v>26</v>
      </c>
      <c r="E19" s="6" t="s">
        <v>65</v>
      </c>
      <c r="F19" s="6" t="s">
        <v>46</v>
      </c>
      <c r="G19" s="3">
        <v>23.30958904109589</v>
      </c>
      <c r="H19">
        <v>56.539000000000001</v>
      </c>
    </row>
    <row r="20" spans="1:8" x14ac:dyDescent="0.45">
      <c r="A20" s="8" t="s">
        <v>69</v>
      </c>
      <c r="B20" s="8">
        <v>2021</v>
      </c>
      <c r="C20" s="9">
        <v>44388</v>
      </c>
      <c r="D20" s="8" t="s">
        <v>10</v>
      </c>
      <c r="E20" s="5" t="s">
        <v>27</v>
      </c>
      <c r="F20" s="5" t="s">
        <v>29</v>
      </c>
      <c r="G20" s="3">
        <v>23.038356164383561</v>
      </c>
      <c r="H20">
        <v>53.85</v>
      </c>
    </row>
    <row r="21" spans="1:8" x14ac:dyDescent="0.45">
      <c r="A21" s="12" t="s">
        <v>71</v>
      </c>
      <c r="B21" s="12">
        <v>2020</v>
      </c>
      <c r="C21" s="16">
        <v>43890</v>
      </c>
      <c r="D21" s="12" t="s">
        <v>18</v>
      </c>
      <c r="E21" s="1" t="s">
        <v>51</v>
      </c>
      <c r="F21" s="1" t="s">
        <v>52</v>
      </c>
      <c r="G21" s="3">
        <v>24.482191780821918</v>
      </c>
    </row>
    <row r="22" spans="1:8" x14ac:dyDescent="0.45">
      <c r="A22" s="5" t="s">
        <v>33</v>
      </c>
      <c r="B22" s="5">
        <v>2020</v>
      </c>
      <c r="C22" s="19">
        <v>43855</v>
      </c>
      <c r="D22" s="5" t="s">
        <v>10</v>
      </c>
      <c r="E22" s="5" t="s">
        <v>90</v>
      </c>
      <c r="F22" s="5" t="s">
        <v>91</v>
      </c>
      <c r="G22" s="3">
        <v>25.164383561643834</v>
      </c>
      <c r="H22">
        <v>53.784999999999997</v>
      </c>
    </row>
    <row r="23" spans="1:8" x14ac:dyDescent="0.45">
      <c r="A23" s="18" t="s">
        <v>72</v>
      </c>
      <c r="B23" s="18">
        <v>2019</v>
      </c>
      <c r="C23" s="11">
        <v>43813</v>
      </c>
      <c r="D23" s="12" t="s">
        <v>10</v>
      </c>
      <c r="E23" s="1" t="s">
        <v>41</v>
      </c>
      <c r="F23" s="1" t="s">
        <v>92</v>
      </c>
      <c r="G23" s="3">
        <v>26.013698630136986</v>
      </c>
      <c r="H23">
        <v>53.875</v>
      </c>
    </row>
    <row r="24" spans="1:8" x14ac:dyDescent="0.45">
      <c r="A24" s="17" t="s">
        <v>76</v>
      </c>
      <c r="B24" s="17">
        <v>2019</v>
      </c>
      <c r="C24" s="19">
        <v>43806</v>
      </c>
      <c r="D24" s="8" t="s">
        <v>10</v>
      </c>
      <c r="E24" s="5" t="s">
        <v>90</v>
      </c>
      <c r="F24" s="5" t="s">
        <v>91</v>
      </c>
      <c r="G24" s="3">
        <v>25.030136986301368</v>
      </c>
      <c r="H24">
        <v>54.192999999999998</v>
      </c>
    </row>
    <row r="25" spans="1:8" x14ac:dyDescent="0.45">
      <c r="A25" s="18" t="s">
        <v>37</v>
      </c>
      <c r="B25" s="18">
        <v>2019</v>
      </c>
      <c r="C25" s="11">
        <v>43799</v>
      </c>
      <c r="D25" s="18" t="s">
        <v>10</v>
      </c>
      <c r="E25" s="1" t="s">
        <v>11</v>
      </c>
      <c r="F25" s="1" t="s">
        <v>13</v>
      </c>
      <c r="G25" s="3">
        <v>31.8</v>
      </c>
      <c r="H25">
        <v>53.749000000000002</v>
      </c>
    </row>
    <row r="26" spans="1:8" x14ac:dyDescent="0.45">
      <c r="A26" s="17" t="s">
        <v>47</v>
      </c>
      <c r="B26" s="17">
        <v>2019</v>
      </c>
      <c r="C26" s="19">
        <v>43779</v>
      </c>
      <c r="D26" s="17" t="s">
        <v>10</v>
      </c>
      <c r="E26" s="5" t="s">
        <v>73</v>
      </c>
      <c r="F26" s="5" t="s">
        <v>75</v>
      </c>
      <c r="G26" s="3">
        <v>23.824657534246576</v>
      </c>
    </row>
    <row r="27" spans="1:8" x14ac:dyDescent="0.45">
      <c r="A27" s="18" t="s">
        <v>77</v>
      </c>
      <c r="B27" s="18">
        <v>2019</v>
      </c>
      <c r="C27" s="11">
        <v>43771</v>
      </c>
      <c r="D27" s="18" t="s">
        <v>10</v>
      </c>
      <c r="E27" s="1" t="s">
        <v>65</v>
      </c>
      <c r="F27" s="1" t="s">
        <v>46</v>
      </c>
      <c r="G27" s="3">
        <v>21.550684931506851</v>
      </c>
      <c r="H27">
        <v>55.021000000000001</v>
      </c>
    </row>
    <row r="28" spans="1:8" x14ac:dyDescent="0.45">
      <c r="A28" s="5" t="s">
        <v>78</v>
      </c>
      <c r="B28" s="5">
        <v>2019</v>
      </c>
      <c r="C28" s="19">
        <v>43526</v>
      </c>
      <c r="D28" s="5" t="s">
        <v>18</v>
      </c>
      <c r="E28" s="5" t="s">
        <v>12</v>
      </c>
      <c r="F28" s="5" t="s">
        <v>13</v>
      </c>
      <c r="G28" s="3">
        <v>28.86849315068493</v>
      </c>
      <c r="H28">
        <v>53.996000000000002</v>
      </c>
    </row>
    <row r="29" spans="1:8" x14ac:dyDescent="0.45">
      <c r="A29" s="1" t="s">
        <v>37</v>
      </c>
      <c r="B29" s="1">
        <v>2019</v>
      </c>
      <c r="C29" s="11">
        <v>43491</v>
      </c>
      <c r="D29" s="1" t="s">
        <v>10</v>
      </c>
      <c r="E29" s="1" t="s">
        <v>23</v>
      </c>
      <c r="F29" s="1" t="s">
        <v>24</v>
      </c>
      <c r="G29" s="3">
        <v>21.863013698630137</v>
      </c>
      <c r="H29">
        <v>56.115000000000002</v>
      </c>
    </row>
    <row r="30" spans="1:8" x14ac:dyDescent="0.45">
      <c r="A30" s="5" t="s">
        <v>76</v>
      </c>
      <c r="B30" s="5">
        <v>2019</v>
      </c>
      <c r="C30" s="19">
        <v>43485</v>
      </c>
      <c r="D30" s="5" t="s">
        <v>10</v>
      </c>
      <c r="E30" s="5" t="s">
        <v>93</v>
      </c>
      <c r="F30" s="5" t="s">
        <v>94</v>
      </c>
      <c r="G30" s="3">
        <v>30.843835616438355</v>
      </c>
      <c r="H30">
        <v>51.448</v>
      </c>
    </row>
    <row r="31" spans="1:8" x14ac:dyDescent="0.45">
      <c r="A31" s="1" t="s">
        <v>95</v>
      </c>
      <c r="B31" s="1">
        <v>2018</v>
      </c>
      <c r="C31" s="11">
        <v>43450</v>
      </c>
      <c r="D31" s="1" t="s">
        <v>10</v>
      </c>
      <c r="E31" s="1" t="s">
        <v>93</v>
      </c>
      <c r="F31" s="1" t="s">
        <v>94</v>
      </c>
      <c r="G31" s="3">
        <v>30.747945205479454</v>
      </c>
      <c r="H31">
        <v>51.945</v>
      </c>
    </row>
    <row r="32" spans="1:8" x14ac:dyDescent="0.45">
      <c r="A32" s="5" t="s">
        <v>71</v>
      </c>
      <c r="B32" s="17">
        <v>2018</v>
      </c>
      <c r="C32" s="19">
        <v>43436</v>
      </c>
      <c r="D32" s="17" t="s">
        <v>10</v>
      </c>
      <c r="E32" s="5" t="s">
        <v>96</v>
      </c>
      <c r="F32" s="5" t="s">
        <v>15</v>
      </c>
      <c r="G32" s="3">
        <v>24.301369863013697</v>
      </c>
      <c r="H32">
        <v>52.691000000000003</v>
      </c>
    </row>
    <row r="33" spans="1:8" x14ac:dyDescent="0.45">
      <c r="A33" s="1" t="s">
        <v>33</v>
      </c>
      <c r="B33" s="1">
        <v>2018</v>
      </c>
      <c r="C33" s="2">
        <v>43398</v>
      </c>
      <c r="D33" s="1" t="s">
        <v>10</v>
      </c>
      <c r="E33" s="1" t="s">
        <v>48</v>
      </c>
      <c r="F33" s="1" t="s">
        <v>46</v>
      </c>
      <c r="H33">
        <v>53.145000000000003</v>
      </c>
    </row>
    <row r="34" spans="1:8" x14ac:dyDescent="0.45">
      <c r="A34" s="1" t="s">
        <v>25</v>
      </c>
      <c r="B34" s="1">
        <v>2018</v>
      </c>
      <c r="C34" s="2">
        <v>43393</v>
      </c>
      <c r="D34" s="1" t="s">
        <v>10</v>
      </c>
      <c r="E34" s="5" t="s">
        <v>96</v>
      </c>
      <c r="F34" s="5" t="s">
        <v>15</v>
      </c>
      <c r="H34">
        <v>53.503</v>
      </c>
    </row>
    <row r="35" spans="1:8" x14ac:dyDescent="0.45">
      <c r="A35" s="1" t="s">
        <v>109</v>
      </c>
      <c r="B35" s="1">
        <v>2018</v>
      </c>
      <c r="C35" s="2">
        <v>43162</v>
      </c>
      <c r="D35" s="1" t="s">
        <v>18</v>
      </c>
      <c r="E35" s="1" t="s">
        <v>96</v>
      </c>
      <c r="F35" s="1" t="s">
        <v>15</v>
      </c>
      <c r="H35">
        <v>52.222000000000001</v>
      </c>
    </row>
    <row r="36" spans="1:8" x14ac:dyDescent="0.45">
      <c r="A36" s="1" t="s">
        <v>77</v>
      </c>
      <c r="B36" s="1">
        <v>2018</v>
      </c>
      <c r="C36" s="2">
        <v>43119</v>
      </c>
      <c r="D36" s="1" t="s">
        <v>10</v>
      </c>
      <c r="E36" s="5" t="s">
        <v>96</v>
      </c>
      <c r="F36" s="5" t="s">
        <v>15</v>
      </c>
      <c r="H36">
        <v>53.103000000000002</v>
      </c>
    </row>
    <row r="37" spans="1:8" x14ac:dyDescent="0.45">
      <c r="A37" s="1" t="s">
        <v>146</v>
      </c>
      <c r="B37" s="1">
        <v>2017</v>
      </c>
      <c r="C37" s="2">
        <v>43077</v>
      </c>
      <c r="D37" s="1" t="s">
        <v>10</v>
      </c>
      <c r="E37" s="1" t="s">
        <v>147</v>
      </c>
      <c r="F37" s="1" t="s">
        <v>61</v>
      </c>
      <c r="H37">
        <v>53.011000000000003</v>
      </c>
    </row>
    <row r="38" spans="1:8" x14ac:dyDescent="0.45">
      <c r="A38" s="1" t="s">
        <v>33</v>
      </c>
      <c r="B38" s="1">
        <v>2017</v>
      </c>
      <c r="C38" s="2">
        <v>43070</v>
      </c>
      <c r="D38" s="1" t="s">
        <v>10</v>
      </c>
      <c r="E38" s="5" t="s">
        <v>93</v>
      </c>
      <c r="F38" s="5" t="s">
        <v>94</v>
      </c>
      <c r="H38">
        <v>51.798000000000002</v>
      </c>
    </row>
    <row r="39" spans="1:8" x14ac:dyDescent="0.45">
      <c r="A39" s="1" t="s">
        <v>154</v>
      </c>
      <c r="B39" s="1">
        <v>2017</v>
      </c>
      <c r="C39" s="2">
        <v>43049</v>
      </c>
      <c r="D39" s="1" t="s">
        <v>10</v>
      </c>
      <c r="E39" s="1" t="s">
        <v>93</v>
      </c>
      <c r="F39" s="1" t="s">
        <v>94</v>
      </c>
      <c r="H39">
        <v>54.125999999999998</v>
      </c>
    </row>
    <row r="40" spans="1:8" x14ac:dyDescent="0.45">
      <c r="A40" s="1" t="s">
        <v>78</v>
      </c>
      <c r="B40" s="1">
        <v>2017</v>
      </c>
      <c r="C40" s="2">
        <v>43042</v>
      </c>
      <c r="D40" s="1" t="s">
        <v>10</v>
      </c>
      <c r="E40" s="5" t="s">
        <v>120</v>
      </c>
      <c r="F40" s="5" t="s">
        <v>121</v>
      </c>
      <c r="H40">
        <v>53.268999999999998</v>
      </c>
    </row>
    <row r="41" spans="1:8" x14ac:dyDescent="0.45">
      <c r="A41" s="1" t="s">
        <v>37</v>
      </c>
      <c r="B41" s="1">
        <v>2017</v>
      </c>
      <c r="C41" s="2">
        <v>42867</v>
      </c>
      <c r="D41" s="1" t="s">
        <v>18</v>
      </c>
      <c r="E41" s="1" t="s">
        <v>12</v>
      </c>
      <c r="F41" s="1" t="s">
        <v>13</v>
      </c>
      <c r="H41">
        <v>55.48</v>
      </c>
    </row>
    <row r="42" spans="1:8" x14ac:dyDescent="0.45">
      <c r="A42" s="1" t="s">
        <v>155</v>
      </c>
      <c r="B42" s="1">
        <v>2017</v>
      </c>
      <c r="C42" s="2">
        <v>42790</v>
      </c>
      <c r="D42" s="1" t="s">
        <v>10</v>
      </c>
      <c r="E42" s="5" t="s">
        <v>156</v>
      </c>
      <c r="F42" s="5" t="s">
        <v>157</v>
      </c>
      <c r="H42">
        <v>51.09</v>
      </c>
    </row>
    <row r="43" spans="1:8" x14ac:dyDescent="0.45">
      <c r="A43" s="1" t="s">
        <v>58</v>
      </c>
      <c r="B43" s="1">
        <v>2017</v>
      </c>
      <c r="C43" s="2">
        <v>42783</v>
      </c>
      <c r="D43" s="1" t="s">
        <v>10</v>
      </c>
      <c r="E43" s="1" t="s">
        <v>73</v>
      </c>
      <c r="F43" s="1" t="s">
        <v>75</v>
      </c>
      <c r="H43">
        <v>56.390999999999998</v>
      </c>
    </row>
  </sheetData>
  <conditionalFormatting sqref="A16:B18 D16:D18">
    <cfRule type="expression" dxfId="90" priority="16">
      <formula>$E16="F"</formula>
    </cfRule>
    <cfRule type="expression" dxfId="89" priority="17">
      <formula>$E16="Q"</formula>
    </cfRule>
  </conditionalFormatting>
  <conditionalFormatting sqref="A19:B19">
    <cfRule type="expression" dxfId="88" priority="12">
      <formula>#REF!="F"</formula>
    </cfRule>
    <cfRule type="expression" dxfId="87" priority="13">
      <formula>#REF!="Q"</formula>
    </cfRule>
  </conditionalFormatting>
  <conditionalFormatting sqref="A23:B24">
    <cfRule type="expression" dxfId="86" priority="6">
      <formula>$E23="R1"</formula>
    </cfRule>
    <cfRule type="expression" dxfId="85" priority="7">
      <formula>$E23="F"</formula>
    </cfRule>
    <cfRule type="expression" dxfId="84" priority="8">
      <formula>$E23="Q"</formula>
    </cfRule>
  </conditionalFormatting>
  <conditionalFormatting sqref="A15:D15">
    <cfRule type="expression" dxfId="83" priority="24">
      <formula>$E15="F"</formula>
    </cfRule>
    <cfRule type="expression" dxfId="82" priority="25">
      <formula>$E15="Q"</formula>
    </cfRule>
  </conditionalFormatting>
  <conditionalFormatting sqref="A32:D32">
    <cfRule type="expression" dxfId="81" priority="4">
      <formula>$E32="F"</formula>
    </cfRule>
    <cfRule type="expression" dxfId="80" priority="5">
      <formula>$E32="Q"</formula>
    </cfRule>
  </conditionalFormatting>
  <conditionalFormatting sqref="D19">
    <cfRule type="expression" dxfId="79" priority="14">
      <formula>#REF!="F"</formula>
    </cfRule>
    <cfRule type="expression" dxfId="78" priority="15">
      <formula>#REF!="Q"</formula>
    </cfRule>
  </conditionalFormatting>
  <conditionalFormatting sqref="D23:D24">
    <cfRule type="expression" dxfId="77" priority="9">
      <formula>$E23="R1"</formula>
    </cfRule>
    <cfRule type="expression" dxfId="76" priority="10">
      <formula>$E23="F"</formula>
    </cfRule>
    <cfRule type="expression" dxfId="75" priority="11">
      <formula>$E23="Q"</formula>
    </cfRule>
  </conditionalFormatting>
  <conditionalFormatting sqref="G3:G32">
    <cfRule type="expression" dxfId="74" priority="26">
      <formula>$E3="R1"</formula>
    </cfRule>
    <cfRule type="expression" dxfId="73" priority="27">
      <formula>$E3="F"</formula>
    </cfRule>
    <cfRule type="expression" dxfId="72" priority="28">
      <formula>$E3="Q"</formula>
    </cfRule>
  </conditionalFormatting>
  <conditionalFormatting sqref="G2">
    <cfRule type="expression" dxfId="71" priority="1">
      <formula>$E2="R1"</formula>
    </cfRule>
    <cfRule type="expression" dxfId="70" priority="2">
      <formula>$E2="F"</formula>
    </cfRule>
    <cfRule type="expression" dxfId="69" priority="3">
      <formula>$E2="Q"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2537-7E23-41E0-A5A5-BCEC30CFEE89}">
  <dimension ref="A1:L127"/>
  <sheetViews>
    <sheetView workbookViewId="0">
      <pane ySplit="1" topLeftCell="A2" activePane="bottomLeft" state="frozen"/>
      <selection pane="bottomLeft" activeCell="J13" sqref="J13"/>
    </sheetView>
  </sheetViews>
  <sheetFormatPr defaultRowHeight="14.25" x14ac:dyDescent="0.45"/>
  <cols>
    <col min="3" max="3" width="9.9296875" bestFit="1" customWidth="1"/>
  </cols>
  <sheetData>
    <row r="1" spans="1:12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81</v>
      </c>
      <c r="F1" t="s">
        <v>4</v>
      </c>
      <c r="G1" s="6" t="s">
        <v>82</v>
      </c>
      <c r="H1" s="6" t="s">
        <v>5</v>
      </c>
      <c r="I1" s="6" t="s">
        <v>6</v>
      </c>
      <c r="J1" s="6" t="s">
        <v>79</v>
      </c>
      <c r="K1" s="6" t="s">
        <v>7</v>
      </c>
      <c r="L1" s="10" t="s">
        <v>8</v>
      </c>
    </row>
    <row r="2" spans="1:12" x14ac:dyDescent="0.45">
      <c r="A2" s="13" t="s">
        <v>146</v>
      </c>
      <c r="B2" s="14">
        <v>2025</v>
      </c>
      <c r="C2" s="7">
        <v>45952</v>
      </c>
      <c r="D2" s="15" t="s">
        <v>18</v>
      </c>
      <c r="E2" s="6" t="s">
        <v>161</v>
      </c>
      <c r="F2" s="6" t="s">
        <v>21</v>
      </c>
      <c r="G2" s="3">
        <v>28.536986301369861</v>
      </c>
      <c r="H2" s="8">
        <v>1</v>
      </c>
      <c r="I2" s="6">
        <v>20</v>
      </c>
      <c r="J2">
        <f>K2-I2</f>
        <v>3</v>
      </c>
      <c r="K2" s="6">
        <v>23</v>
      </c>
      <c r="L2" s="5">
        <v>57.6</v>
      </c>
    </row>
    <row r="3" spans="1:12" x14ac:dyDescent="0.45">
      <c r="A3" s="13" t="s">
        <v>146</v>
      </c>
      <c r="B3" s="14">
        <v>2025</v>
      </c>
      <c r="C3" s="7">
        <v>45952</v>
      </c>
      <c r="D3" s="15" t="s">
        <v>18</v>
      </c>
      <c r="E3" s="6" t="s">
        <v>42</v>
      </c>
      <c r="F3" s="6" t="s">
        <v>43</v>
      </c>
      <c r="G3" s="3">
        <v>36.402739726027399</v>
      </c>
      <c r="H3" s="8">
        <v>2</v>
      </c>
      <c r="I3" s="6">
        <v>0</v>
      </c>
      <c r="J3">
        <f t="shared" ref="J3:J4" si="0">K3-I3</f>
        <v>7</v>
      </c>
      <c r="K3" s="6">
        <v>7</v>
      </c>
      <c r="L3" s="5">
        <v>57.6</v>
      </c>
    </row>
    <row r="4" spans="1:12" x14ac:dyDescent="0.45">
      <c r="A4" s="13" t="s">
        <v>146</v>
      </c>
      <c r="B4" s="14">
        <v>2025</v>
      </c>
      <c r="C4" s="7">
        <v>45952</v>
      </c>
      <c r="D4" s="15" t="s">
        <v>18</v>
      </c>
      <c r="E4" s="6" t="s">
        <v>12</v>
      </c>
      <c r="F4" s="6" t="s">
        <v>13</v>
      </c>
      <c r="G4" s="3">
        <v>35.515068493150686</v>
      </c>
      <c r="H4" s="8">
        <v>3</v>
      </c>
      <c r="I4" s="6">
        <v>0</v>
      </c>
      <c r="J4">
        <f t="shared" si="0"/>
        <v>6</v>
      </c>
      <c r="K4" s="6">
        <v>6</v>
      </c>
      <c r="L4" s="5">
        <v>57.6</v>
      </c>
    </row>
    <row r="5" spans="1:12" x14ac:dyDescent="0.45">
      <c r="A5" s="12" t="s">
        <v>9</v>
      </c>
      <c r="B5" s="12">
        <v>2025</v>
      </c>
      <c r="C5" s="7">
        <v>45730</v>
      </c>
      <c r="D5" s="12" t="s">
        <v>10</v>
      </c>
      <c r="E5" s="6" t="s">
        <v>97</v>
      </c>
      <c r="F5" s="6" t="s">
        <v>98</v>
      </c>
      <c r="G5" s="3">
        <v>17.479452054794521</v>
      </c>
      <c r="H5" s="8">
        <v>1</v>
      </c>
      <c r="I5" s="6">
        <v>20</v>
      </c>
      <c r="J5" s="6">
        <v>5</v>
      </c>
      <c r="K5" s="6">
        <v>25</v>
      </c>
      <c r="L5" s="20">
        <v>58.536585365853668</v>
      </c>
    </row>
    <row r="6" spans="1:12" x14ac:dyDescent="0.45">
      <c r="A6" s="12" t="s">
        <v>9</v>
      </c>
      <c r="B6" s="12">
        <v>2025</v>
      </c>
      <c r="C6" s="7">
        <v>45730</v>
      </c>
      <c r="D6" s="12" t="s">
        <v>10</v>
      </c>
      <c r="E6" s="6" t="s">
        <v>99</v>
      </c>
      <c r="F6" s="6" t="s">
        <v>46</v>
      </c>
      <c r="G6" s="3">
        <v>19.980821917808218</v>
      </c>
      <c r="H6" s="8">
        <v>2</v>
      </c>
      <c r="I6" s="6">
        <v>20</v>
      </c>
      <c r="J6" s="6">
        <v>5</v>
      </c>
      <c r="K6" s="6">
        <v>25</v>
      </c>
      <c r="L6" s="20">
        <v>58.536585365853668</v>
      </c>
    </row>
    <row r="7" spans="1:12" x14ac:dyDescent="0.45">
      <c r="A7" s="12" t="s">
        <v>9</v>
      </c>
      <c r="B7" s="12">
        <v>2025</v>
      </c>
      <c r="C7" s="7">
        <v>45730</v>
      </c>
      <c r="D7" s="12" t="s">
        <v>10</v>
      </c>
      <c r="E7" s="6" t="s">
        <v>12</v>
      </c>
      <c r="F7" s="6" t="s">
        <v>13</v>
      </c>
      <c r="G7" s="3">
        <v>34.906849315068492</v>
      </c>
      <c r="H7" s="8">
        <v>3</v>
      </c>
      <c r="I7" s="6">
        <v>20</v>
      </c>
      <c r="J7" s="6">
        <v>5</v>
      </c>
      <c r="K7" s="6">
        <v>25</v>
      </c>
      <c r="L7" s="20">
        <v>58.536585365853668</v>
      </c>
    </row>
    <row r="8" spans="1:12" x14ac:dyDescent="0.45">
      <c r="A8" s="6" t="s">
        <v>17</v>
      </c>
      <c r="B8" s="6">
        <v>2024</v>
      </c>
      <c r="C8" s="7">
        <v>45584</v>
      </c>
      <c r="D8" s="6" t="s">
        <v>18</v>
      </c>
      <c r="E8" s="6" t="s">
        <v>101</v>
      </c>
      <c r="F8" s="6" t="s">
        <v>52</v>
      </c>
      <c r="G8" s="3">
        <v>22.789041095890411</v>
      </c>
      <c r="H8" s="8">
        <v>1</v>
      </c>
      <c r="I8" s="6">
        <v>20</v>
      </c>
      <c r="J8" s="6">
        <v>4</v>
      </c>
      <c r="K8" s="6">
        <v>24</v>
      </c>
      <c r="L8" s="5">
        <v>58.158000000000001</v>
      </c>
    </row>
    <row r="9" spans="1:12" x14ac:dyDescent="0.45">
      <c r="A9" s="6" t="s">
        <v>17</v>
      </c>
      <c r="B9" s="6">
        <v>2024</v>
      </c>
      <c r="C9" s="7">
        <v>45584</v>
      </c>
      <c r="D9" s="6" t="s">
        <v>18</v>
      </c>
      <c r="E9" s="6" t="s">
        <v>35</v>
      </c>
      <c r="F9" s="6" t="s">
        <v>15</v>
      </c>
      <c r="G9" s="3">
        <v>24.109589041095891</v>
      </c>
      <c r="H9" s="8">
        <v>2</v>
      </c>
      <c r="I9" s="6">
        <v>20</v>
      </c>
      <c r="J9" s="6">
        <v>4</v>
      </c>
      <c r="K9" s="6">
        <v>24</v>
      </c>
      <c r="L9" s="5">
        <v>58.158000000000001</v>
      </c>
    </row>
    <row r="10" spans="1:12" x14ac:dyDescent="0.45">
      <c r="A10" s="6" t="s">
        <v>17</v>
      </c>
      <c r="B10" s="6">
        <v>2024</v>
      </c>
      <c r="C10" s="7">
        <v>45584</v>
      </c>
      <c r="D10" s="6" t="s">
        <v>18</v>
      </c>
      <c r="E10" s="6" t="s">
        <v>57</v>
      </c>
      <c r="F10" s="6" t="s">
        <v>46</v>
      </c>
      <c r="G10" s="3">
        <v>26.104109589041094</v>
      </c>
      <c r="H10" s="8">
        <v>3</v>
      </c>
      <c r="I10">
        <v>20</v>
      </c>
      <c r="J10" s="6">
        <v>3</v>
      </c>
      <c r="K10">
        <v>23</v>
      </c>
      <c r="L10" s="5">
        <v>58.158000000000001</v>
      </c>
    </row>
    <row r="11" spans="1:12" x14ac:dyDescent="0.45">
      <c r="A11" s="12" t="s">
        <v>25</v>
      </c>
      <c r="B11" s="12">
        <v>2024</v>
      </c>
      <c r="C11" s="7">
        <v>45512</v>
      </c>
      <c r="D11" s="12" t="s">
        <v>26</v>
      </c>
      <c r="E11" s="6" t="s">
        <v>102</v>
      </c>
      <c r="F11" s="6" t="s">
        <v>16</v>
      </c>
      <c r="G11" s="3">
        <v>23.895890410958906</v>
      </c>
      <c r="H11" s="8">
        <v>1</v>
      </c>
      <c r="I11">
        <v>20</v>
      </c>
      <c r="J11" s="6">
        <v>11</v>
      </c>
      <c r="K11">
        <v>31</v>
      </c>
      <c r="L11" s="5">
        <v>55.988</v>
      </c>
    </row>
    <row r="12" spans="1:12" x14ac:dyDescent="0.45">
      <c r="A12" s="12" t="s">
        <v>25</v>
      </c>
      <c r="B12" s="12">
        <v>2024</v>
      </c>
      <c r="C12" s="7">
        <v>45512</v>
      </c>
      <c r="D12" s="12" t="s">
        <v>26</v>
      </c>
      <c r="E12" s="21" t="s">
        <v>27</v>
      </c>
      <c r="F12" s="6" t="s">
        <v>29</v>
      </c>
      <c r="G12" s="3">
        <v>26.117808219178084</v>
      </c>
      <c r="H12" s="8">
        <v>2</v>
      </c>
      <c r="I12">
        <v>20</v>
      </c>
      <c r="J12" s="6">
        <v>8</v>
      </c>
      <c r="K12">
        <v>28</v>
      </c>
      <c r="L12" s="5">
        <v>55.988</v>
      </c>
    </row>
    <row r="13" spans="1:12" x14ac:dyDescent="0.45">
      <c r="A13" s="12" t="s">
        <v>25</v>
      </c>
      <c r="B13" s="12">
        <v>2024</v>
      </c>
      <c r="C13" s="7">
        <v>45512</v>
      </c>
      <c r="D13" s="12" t="s">
        <v>26</v>
      </c>
      <c r="E13" s="6" t="s">
        <v>20</v>
      </c>
      <c r="F13" s="6" t="s">
        <v>21</v>
      </c>
      <c r="G13" s="3">
        <v>22.153424657534245</v>
      </c>
      <c r="H13" s="8">
        <v>3</v>
      </c>
      <c r="I13">
        <v>20</v>
      </c>
      <c r="J13" s="6">
        <v>5</v>
      </c>
      <c r="K13">
        <v>25</v>
      </c>
      <c r="L13" s="5">
        <v>55.988</v>
      </c>
    </row>
    <row r="14" spans="1:12" x14ac:dyDescent="0.45">
      <c r="A14" s="6" t="s">
        <v>33</v>
      </c>
      <c r="B14" s="6">
        <v>2024</v>
      </c>
      <c r="C14" s="7">
        <v>45395</v>
      </c>
      <c r="D14" s="6" t="s">
        <v>10</v>
      </c>
      <c r="E14" s="6" t="s">
        <v>51</v>
      </c>
      <c r="F14" s="6" t="s">
        <v>52</v>
      </c>
      <c r="G14" s="3">
        <v>28.605479452054794</v>
      </c>
      <c r="H14" s="8">
        <v>1</v>
      </c>
      <c r="I14">
        <v>20</v>
      </c>
      <c r="J14" s="6">
        <v>9</v>
      </c>
      <c r="K14">
        <v>29</v>
      </c>
      <c r="L14" s="5">
        <v>52.786000000000001</v>
      </c>
    </row>
    <row r="15" spans="1:12" x14ac:dyDescent="0.45">
      <c r="A15" s="6" t="s">
        <v>33</v>
      </c>
      <c r="B15" s="6">
        <v>2024</v>
      </c>
      <c r="C15" s="7">
        <v>45395</v>
      </c>
      <c r="D15" s="6" t="s">
        <v>10</v>
      </c>
      <c r="E15" s="6" t="s">
        <v>27</v>
      </c>
      <c r="F15" s="6" t="s">
        <v>29</v>
      </c>
      <c r="G15" s="3">
        <v>25.797260273972604</v>
      </c>
      <c r="H15" s="8">
        <v>2</v>
      </c>
      <c r="I15">
        <v>20</v>
      </c>
      <c r="J15" s="6">
        <v>9</v>
      </c>
      <c r="K15">
        <v>29</v>
      </c>
      <c r="L15" s="5">
        <v>52.786000000000001</v>
      </c>
    </row>
    <row r="16" spans="1:12" x14ac:dyDescent="0.45">
      <c r="A16" s="6" t="s">
        <v>33</v>
      </c>
      <c r="B16" s="6">
        <v>2024</v>
      </c>
      <c r="C16" s="7">
        <v>45395</v>
      </c>
      <c r="D16" s="6" t="s">
        <v>10</v>
      </c>
      <c r="E16" s="6" t="s">
        <v>57</v>
      </c>
      <c r="F16" t="s">
        <v>46</v>
      </c>
      <c r="G16" s="3">
        <v>25.586301369863012</v>
      </c>
      <c r="H16" s="5">
        <v>3</v>
      </c>
      <c r="I16">
        <v>20</v>
      </c>
      <c r="J16" s="6">
        <v>4</v>
      </c>
      <c r="K16">
        <v>24</v>
      </c>
      <c r="L16" s="5">
        <v>52.786000000000001</v>
      </c>
    </row>
    <row r="17" spans="1:12" x14ac:dyDescent="0.45">
      <c r="A17" s="12" t="s">
        <v>37</v>
      </c>
      <c r="B17" s="12">
        <v>2024</v>
      </c>
      <c r="C17" s="7">
        <v>45368</v>
      </c>
      <c r="D17" s="8" t="s">
        <v>10</v>
      </c>
      <c r="E17" s="6" t="s">
        <v>84</v>
      </c>
      <c r="F17" s="6" t="s">
        <v>52</v>
      </c>
      <c r="G17" s="3">
        <v>21.473972602739725</v>
      </c>
      <c r="H17" s="8">
        <v>1</v>
      </c>
      <c r="I17" s="6">
        <v>20</v>
      </c>
      <c r="J17" s="6">
        <v>7</v>
      </c>
      <c r="K17" s="6">
        <v>27</v>
      </c>
      <c r="L17" s="5">
        <v>57.6</v>
      </c>
    </row>
    <row r="18" spans="1:12" x14ac:dyDescent="0.45">
      <c r="A18" s="12" t="s">
        <v>37</v>
      </c>
      <c r="B18" s="12">
        <v>2024</v>
      </c>
      <c r="C18" s="7">
        <v>45368</v>
      </c>
      <c r="D18" s="8" t="s">
        <v>10</v>
      </c>
      <c r="E18" s="6" t="s">
        <v>38</v>
      </c>
      <c r="F18" s="6" t="s">
        <v>40</v>
      </c>
      <c r="G18" s="3">
        <v>33.328767123287669</v>
      </c>
      <c r="H18" s="8">
        <v>2</v>
      </c>
      <c r="I18" s="6">
        <v>20</v>
      </c>
      <c r="J18" s="6">
        <v>4</v>
      </c>
      <c r="K18" s="6">
        <v>24</v>
      </c>
      <c r="L18" s="5">
        <v>57.6</v>
      </c>
    </row>
    <row r="19" spans="1:12" x14ac:dyDescent="0.45">
      <c r="A19" s="12" t="s">
        <v>37</v>
      </c>
      <c r="B19" s="12">
        <v>2024</v>
      </c>
      <c r="C19" s="7">
        <v>45368</v>
      </c>
      <c r="D19" s="8" t="s">
        <v>10</v>
      </c>
      <c r="E19" s="6" t="s">
        <v>103</v>
      </c>
      <c r="F19" s="6" t="s">
        <v>92</v>
      </c>
      <c r="G19" s="3">
        <v>23.389041095890413</v>
      </c>
      <c r="H19" s="8">
        <v>3</v>
      </c>
      <c r="I19" s="6">
        <v>20</v>
      </c>
      <c r="J19" s="6">
        <v>3</v>
      </c>
      <c r="K19" s="6">
        <v>23</v>
      </c>
      <c r="L19" s="5">
        <v>57.6</v>
      </c>
    </row>
    <row r="20" spans="1:12" x14ac:dyDescent="0.45">
      <c r="A20" s="12" t="s">
        <v>44</v>
      </c>
      <c r="B20" s="12">
        <v>2024</v>
      </c>
      <c r="C20" s="7">
        <v>45325</v>
      </c>
      <c r="D20" s="12" t="s">
        <v>10</v>
      </c>
      <c r="E20" s="6" t="s">
        <v>104</v>
      </c>
      <c r="F20" s="6" t="s">
        <v>105</v>
      </c>
      <c r="G20" s="3">
        <v>23.109589041095891</v>
      </c>
      <c r="H20" s="8">
        <v>1</v>
      </c>
      <c r="I20" s="6">
        <v>20</v>
      </c>
      <c r="J20" s="6">
        <v>8</v>
      </c>
      <c r="K20" s="6">
        <v>28</v>
      </c>
      <c r="L20" s="5">
        <v>53.811999999999998</v>
      </c>
    </row>
    <row r="21" spans="1:12" x14ac:dyDescent="0.45">
      <c r="A21" s="12" t="s">
        <v>44</v>
      </c>
      <c r="B21" s="12">
        <v>2024</v>
      </c>
      <c r="C21" s="7">
        <v>45325</v>
      </c>
      <c r="D21" s="12" t="s">
        <v>10</v>
      </c>
      <c r="E21" s="6" t="s">
        <v>106</v>
      </c>
      <c r="F21" s="6" t="s">
        <v>107</v>
      </c>
      <c r="G21" s="3">
        <v>24.865753424657534</v>
      </c>
      <c r="H21" s="8">
        <v>2</v>
      </c>
      <c r="I21" s="6">
        <v>20</v>
      </c>
      <c r="J21" s="6">
        <v>7</v>
      </c>
      <c r="K21" s="6">
        <v>27</v>
      </c>
      <c r="L21" s="5">
        <v>53.811999999999998</v>
      </c>
    </row>
    <row r="22" spans="1:12" x14ac:dyDescent="0.45">
      <c r="A22" s="12" t="s">
        <v>44</v>
      </c>
      <c r="B22" s="12">
        <v>2024</v>
      </c>
      <c r="C22" s="7">
        <v>45325</v>
      </c>
      <c r="D22" s="12" t="s">
        <v>10</v>
      </c>
      <c r="E22" s="6" t="s">
        <v>108</v>
      </c>
      <c r="F22" s="6" t="s">
        <v>98</v>
      </c>
      <c r="G22" s="3">
        <v>26.580821917808219</v>
      </c>
      <c r="H22" s="8">
        <v>3</v>
      </c>
      <c r="I22" s="6">
        <v>20</v>
      </c>
      <c r="J22" s="6">
        <v>6</v>
      </c>
      <c r="K22" s="6">
        <v>26</v>
      </c>
      <c r="L22" s="5">
        <v>53.811999999999998</v>
      </c>
    </row>
    <row r="23" spans="1:12" x14ac:dyDescent="0.45">
      <c r="A23" s="13" t="s">
        <v>47</v>
      </c>
      <c r="B23" s="14">
        <v>2023</v>
      </c>
      <c r="C23" s="7">
        <v>45144</v>
      </c>
      <c r="D23" s="15" t="s">
        <v>18</v>
      </c>
      <c r="E23" s="6" t="s">
        <v>27</v>
      </c>
      <c r="F23" s="6" t="s">
        <v>29</v>
      </c>
      <c r="G23" s="3">
        <v>25.109589041095891</v>
      </c>
      <c r="H23" s="8">
        <v>1</v>
      </c>
      <c r="I23" s="6">
        <v>20</v>
      </c>
      <c r="J23" s="6">
        <v>12</v>
      </c>
      <c r="K23" s="6">
        <v>32</v>
      </c>
      <c r="L23" s="5">
        <v>56.515000000000001</v>
      </c>
    </row>
    <row r="24" spans="1:12" x14ac:dyDescent="0.45">
      <c r="A24" s="13" t="s">
        <v>47</v>
      </c>
      <c r="B24" s="14">
        <v>2023</v>
      </c>
      <c r="C24" s="7">
        <v>45144</v>
      </c>
      <c r="D24" s="15" t="s">
        <v>18</v>
      </c>
      <c r="E24" s="6" t="s">
        <v>11</v>
      </c>
      <c r="F24" s="6" t="s">
        <v>13</v>
      </c>
      <c r="G24" s="3">
        <v>35.484931506849314</v>
      </c>
      <c r="H24" s="8">
        <v>2</v>
      </c>
      <c r="I24" s="6">
        <v>0</v>
      </c>
      <c r="J24" s="6">
        <v>8</v>
      </c>
      <c r="K24" s="6">
        <v>8</v>
      </c>
      <c r="L24" s="5">
        <v>56.515000000000001</v>
      </c>
    </row>
    <row r="25" spans="1:12" x14ac:dyDescent="0.45">
      <c r="A25" s="13" t="s">
        <v>47</v>
      </c>
      <c r="B25" s="14">
        <v>2023</v>
      </c>
      <c r="C25" s="7">
        <v>45144</v>
      </c>
      <c r="D25" s="15" t="s">
        <v>18</v>
      </c>
      <c r="E25" s="6" t="s">
        <v>64</v>
      </c>
      <c r="F25" s="6" t="s">
        <v>43</v>
      </c>
      <c r="G25" s="3">
        <v>25.490410958904111</v>
      </c>
      <c r="H25" s="8">
        <v>3</v>
      </c>
      <c r="I25" s="6">
        <v>0</v>
      </c>
      <c r="J25" s="6">
        <v>8</v>
      </c>
      <c r="K25" s="6">
        <v>8</v>
      </c>
      <c r="L25" s="5">
        <v>56.515000000000001</v>
      </c>
    </row>
    <row r="26" spans="1:12" x14ac:dyDescent="0.45">
      <c r="A26" s="6" t="s">
        <v>33</v>
      </c>
      <c r="B26" s="6">
        <v>2023</v>
      </c>
      <c r="C26" s="7">
        <v>45038</v>
      </c>
      <c r="D26" s="6" t="s">
        <v>10</v>
      </c>
      <c r="E26" s="6" t="s">
        <v>20</v>
      </c>
      <c r="F26" s="6" t="s">
        <v>21</v>
      </c>
      <c r="G26" s="3">
        <v>20.854794520547944</v>
      </c>
      <c r="H26" s="8">
        <v>1</v>
      </c>
      <c r="I26" s="6">
        <v>20</v>
      </c>
      <c r="J26" s="6">
        <v>10</v>
      </c>
      <c r="K26" s="6">
        <v>30</v>
      </c>
      <c r="L26">
        <v>57.234000000000002</v>
      </c>
    </row>
    <row r="27" spans="1:12" x14ac:dyDescent="0.45">
      <c r="A27" s="6" t="s">
        <v>33</v>
      </c>
      <c r="B27" s="6">
        <v>2023</v>
      </c>
      <c r="C27" s="7">
        <v>45038</v>
      </c>
      <c r="D27" s="6" t="s">
        <v>10</v>
      </c>
      <c r="E27" s="6" t="s">
        <v>48</v>
      </c>
      <c r="F27" s="6" t="s">
        <v>46</v>
      </c>
      <c r="G27" s="3">
        <v>27.676712328767124</v>
      </c>
      <c r="H27" s="8">
        <v>2</v>
      </c>
      <c r="I27" s="6">
        <v>20</v>
      </c>
      <c r="J27" s="6">
        <v>9</v>
      </c>
      <c r="K27" s="6">
        <v>29</v>
      </c>
      <c r="L27">
        <v>57.234000000000002</v>
      </c>
    </row>
    <row r="28" spans="1:12" x14ac:dyDescent="0.45">
      <c r="A28" s="6" t="s">
        <v>33</v>
      </c>
      <c r="B28" s="6">
        <v>2023</v>
      </c>
      <c r="C28" s="7">
        <v>45038</v>
      </c>
      <c r="D28" s="6" t="s">
        <v>10</v>
      </c>
      <c r="E28" s="6" t="s">
        <v>36</v>
      </c>
      <c r="F28" s="6" t="s">
        <v>15</v>
      </c>
      <c r="G28" s="3">
        <v>28.69041095890411</v>
      </c>
      <c r="H28" s="8">
        <v>3</v>
      </c>
      <c r="I28" s="22">
        <v>0</v>
      </c>
      <c r="J28" s="6">
        <v>5</v>
      </c>
      <c r="K28" s="6">
        <v>5</v>
      </c>
      <c r="L28">
        <v>57.234000000000002</v>
      </c>
    </row>
    <row r="29" spans="1:12" x14ac:dyDescent="0.45">
      <c r="A29" s="8" t="s">
        <v>53</v>
      </c>
      <c r="B29" s="8">
        <v>2023</v>
      </c>
      <c r="C29" s="9">
        <v>45001</v>
      </c>
      <c r="D29" s="8" t="s">
        <v>10</v>
      </c>
      <c r="E29" s="8" t="s">
        <v>54</v>
      </c>
      <c r="F29" s="8" t="s">
        <v>40</v>
      </c>
      <c r="G29" s="3">
        <v>24.336986301369862</v>
      </c>
      <c r="H29" s="8">
        <v>1</v>
      </c>
      <c r="I29" s="8">
        <v>20</v>
      </c>
      <c r="J29" s="6">
        <v>5</v>
      </c>
      <c r="K29" s="8">
        <v>0</v>
      </c>
      <c r="L29">
        <v>53.651000000000003</v>
      </c>
    </row>
    <row r="30" spans="1:12" x14ac:dyDescent="0.45">
      <c r="A30" s="8" t="s">
        <v>53</v>
      </c>
      <c r="B30" s="8">
        <v>2023</v>
      </c>
      <c r="C30" s="9">
        <v>45001</v>
      </c>
      <c r="D30" s="8" t="s">
        <v>10</v>
      </c>
      <c r="E30" s="8" t="s">
        <v>19</v>
      </c>
      <c r="F30" s="8" t="s">
        <v>21</v>
      </c>
      <c r="G30" s="3">
        <v>37.131506849315066</v>
      </c>
      <c r="H30" s="8">
        <v>2</v>
      </c>
      <c r="I30" s="8">
        <v>20</v>
      </c>
      <c r="J30" s="6">
        <v>3</v>
      </c>
      <c r="K30" s="8">
        <v>0</v>
      </c>
      <c r="L30">
        <v>53.651000000000003</v>
      </c>
    </row>
    <row r="31" spans="1:12" x14ac:dyDescent="0.45">
      <c r="A31" s="8" t="s">
        <v>53</v>
      </c>
      <c r="B31" s="8">
        <v>2023</v>
      </c>
      <c r="C31" s="9">
        <v>45001</v>
      </c>
      <c r="D31" s="8" t="s">
        <v>10</v>
      </c>
      <c r="E31" s="8" t="s">
        <v>50</v>
      </c>
      <c r="F31" s="8" t="s">
        <v>52</v>
      </c>
      <c r="G31" s="3">
        <v>29.073972602739726</v>
      </c>
      <c r="H31" s="8">
        <v>3</v>
      </c>
      <c r="I31" s="8">
        <v>20</v>
      </c>
      <c r="J31" s="6">
        <v>2</v>
      </c>
      <c r="K31" s="8">
        <v>0</v>
      </c>
      <c r="L31">
        <v>53.651000000000003</v>
      </c>
    </row>
    <row r="32" spans="1:12" x14ac:dyDescent="0.45">
      <c r="A32" s="12" t="s">
        <v>55</v>
      </c>
      <c r="B32" s="12">
        <v>2023</v>
      </c>
      <c r="C32" s="16">
        <v>44982</v>
      </c>
      <c r="D32" s="12" t="s">
        <v>10</v>
      </c>
      <c r="E32" s="12" t="s">
        <v>22</v>
      </c>
      <c r="F32" s="12" t="s">
        <v>16</v>
      </c>
      <c r="G32" s="3">
        <v>27.761643835616439</v>
      </c>
      <c r="H32" s="12">
        <v>1</v>
      </c>
      <c r="I32" s="12">
        <v>20</v>
      </c>
      <c r="J32" s="6">
        <v>4</v>
      </c>
      <c r="K32" s="12">
        <v>26</v>
      </c>
      <c r="L32">
        <v>38.256999999999998</v>
      </c>
    </row>
    <row r="33" spans="1:12" x14ac:dyDescent="0.45">
      <c r="A33" s="12" t="s">
        <v>55</v>
      </c>
      <c r="B33" s="12">
        <v>2023</v>
      </c>
      <c r="C33" s="16">
        <v>44982</v>
      </c>
      <c r="D33" s="12" t="s">
        <v>10</v>
      </c>
      <c r="E33" s="12" t="s">
        <v>100</v>
      </c>
      <c r="F33" s="12" t="s">
        <v>15</v>
      </c>
      <c r="G33" s="3">
        <v>22.769863013698629</v>
      </c>
      <c r="H33" s="12">
        <v>2</v>
      </c>
      <c r="I33" s="12">
        <v>20</v>
      </c>
      <c r="J33" s="6">
        <v>5</v>
      </c>
      <c r="K33" s="12">
        <v>25</v>
      </c>
      <c r="L33">
        <v>38.256999999999998</v>
      </c>
    </row>
    <row r="34" spans="1:12" x14ac:dyDescent="0.45">
      <c r="A34" s="12" t="s">
        <v>55</v>
      </c>
      <c r="B34" s="12">
        <v>2023</v>
      </c>
      <c r="C34" s="16">
        <v>44982</v>
      </c>
      <c r="D34" s="12" t="s">
        <v>10</v>
      </c>
      <c r="E34" s="12" t="s">
        <v>39</v>
      </c>
      <c r="F34" s="12" t="s">
        <v>40</v>
      </c>
      <c r="G34" s="3">
        <v>24.80821917808219</v>
      </c>
      <c r="H34" s="12">
        <v>3</v>
      </c>
      <c r="I34" s="12">
        <v>20</v>
      </c>
      <c r="J34" s="6">
        <v>4</v>
      </c>
      <c r="K34" s="12">
        <v>24</v>
      </c>
      <c r="L34">
        <v>38.256999999999998</v>
      </c>
    </row>
    <row r="35" spans="1:12" x14ac:dyDescent="0.45">
      <c r="A35" s="8" t="s">
        <v>25</v>
      </c>
      <c r="B35" s="8">
        <v>2022</v>
      </c>
      <c r="C35" s="9">
        <v>44849</v>
      </c>
      <c r="D35" s="8" t="s">
        <v>18</v>
      </c>
      <c r="E35" s="8" t="s">
        <v>64</v>
      </c>
      <c r="F35" s="8" t="s">
        <v>43</v>
      </c>
      <c r="G35" s="3">
        <v>24.682191780821917</v>
      </c>
      <c r="H35" s="8">
        <v>1</v>
      </c>
      <c r="I35" s="8">
        <v>40</v>
      </c>
      <c r="J35" s="6">
        <v>1</v>
      </c>
      <c r="K35" s="8">
        <v>41</v>
      </c>
    </row>
    <row r="36" spans="1:12" x14ac:dyDescent="0.45">
      <c r="A36" s="8" t="s">
        <v>25</v>
      </c>
      <c r="B36" s="8">
        <v>2022</v>
      </c>
      <c r="C36" s="9">
        <v>44849</v>
      </c>
      <c r="D36" s="8" t="s">
        <v>18</v>
      </c>
      <c r="E36" s="8" t="s">
        <v>57</v>
      </c>
      <c r="F36" s="8" t="s">
        <v>46</v>
      </c>
      <c r="G36" s="3">
        <v>24.090410958904108</v>
      </c>
      <c r="H36" s="8">
        <v>2</v>
      </c>
      <c r="I36" s="8">
        <v>20</v>
      </c>
      <c r="J36" s="6">
        <v>9</v>
      </c>
      <c r="K36" s="8">
        <v>29</v>
      </c>
    </row>
    <row r="37" spans="1:12" x14ac:dyDescent="0.45">
      <c r="A37" s="8" t="s">
        <v>25</v>
      </c>
      <c r="B37" s="8">
        <v>2022</v>
      </c>
      <c r="C37" s="9">
        <v>44849</v>
      </c>
      <c r="D37" s="8" t="s">
        <v>18</v>
      </c>
      <c r="E37" s="8" t="s">
        <v>38</v>
      </c>
      <c r="F37" s="8" t="s">
        <v>40</v>
      </c>
      <c r="G37" s="3">
        <v>31.906849315068492</v>
      </c>
      <c r="H37" s="8">
        <v>3</v>
      </c>
      <c r="I37" s="8">
        <v>20</v>
      </c>
      <c r="J37" s="6">
        <v>4</v>
      </c>
      <c r="K37" s="8">
        <v>24</v>
      </c>
    </row>
    <row r="38" spans="1:12" x14ac:dyDescent="0.45">
      <c r="A38" s="12" t="s">
        <v>58</v>
      </c>
      <c r="B38" s="12">
        <v>2022</v>
      </c>
      <c r="C38" s="16">
        <v>44752</v>
      </c>
      <c r="D38" s="12" t="s">
        <v>10</v>
      </c>
      <c r="E38" s="12" t="s">
        <v>60</v>
      </c>
      <c r="F38" s="12" t="s">
        <v>61</v>
      </c>
      <c r="G38" s="3">
        <v>21.041095890410958</v>
      </c>
      <c r="H38" s="12">
        <v>1</v>
      </c>
      <c r="I38" s="12">
        <v>20</v>
      </c>
      <c r="J38" s="6">
        <v>5</v>
      </c>
      <c r="K38" s="12">
        <v>25</v>
      </c>
      <c r="L38">
        <v>52.709000000000003</v>
      </c>
    </row>
    <row r="39" spans="1:12" x14ac:dyDescent="0.45">
      <c r="A39" s="12" t="s">
        <v>58</v>
      </c>
      <c r="B39" s="12">
        <v>2022</v>
      </c>
      <c r="C39" s="16">
        <v>44752</v>
      </c>
      <c r="D39" s="12" t="s">
        <v>10</v>
      </c>
      <c r="E39" s="12" t="s">
        <v>110</v>
      </c>
      <c r="F39" s="12" t="s">
        <v>98</v>
      </c>
      <c r="G39" s="3">
        <v>20.975342465753425</v>
      </c>
      <c r="H39" s="12">
        <v>2</v>
      </c>
      <c r="I39" s="12">
        <v>0</v>
      </c>
      <c r="J39" s="6">
        <v>9</v>
      </c>
      <c r="K39" s="12">
        <v>9</v>
      </c>
      <c r="L39">
        <v>52.709000000000003</v>
      </c>
    </row>
    <row r="40" spans="1:12" x14ac:dyDescent="0.45">
      <c r="A40" s="12" t="s">
        <v>58</v>
      </c>
      <c r="B40" s="12">
        <v>2022</v>
      </c>
      <c r="C40" s="16">
        <v>44752</v>
      </c>
      <c r="D40" s="12" t="s">
        <v>10</v>
      </c>
      <c r="E40" s="12" t="s">
        <v>62</v>
      </c>
      <c r="F40" s="12" t="s">
        <v>63</v>
      </c>
      <c r="G40" s="3">
        <v>35.775342465753425</v>
      </c>
      <c r="H40" s="12">
        <v>3</v>
      </c>
      <c r="I40" s="12">
        <v>0</v>
      </c>
      <c r="J40" s="6">
        <v>6</v>
      </c>
      <c r="K40" s="12">
        <v>6</v>
      </c>
      <c r="L40">
        <v>52.709000000000003</v>
      </c>
    </row>
    <row r="41" spans="1:12" x14ac:dyDescent="0.45">
      <c r="A41" s="8" t="s">
        <v>33</v>
      </c>
      <c r="B41" s="8">
        <v>2022</v>
      </c>
      <c r="C41" s="9">
        <v>44696</v>
      </c>
      <c r="D41" s="8" t="s">
        <v>10</v>
      </c>
      <c r="E41" s="8" t="s">
        <v>20</v>
      </c>
      <c r="F41" s="8" t="s">
        <v>21</v>
      </c>
      <c r="G41" s="3">
        <v>19.917808219178081</v>
      </c>
      <c r="H41" s="8">
        <v>1</v>
      </c>
      <c r="I41" s="8">
        <v>40</v>
      </c>
      <c r="J41" s="6">
        <v>7</v>
      </c>
      <c r="K41" s="8">
        <v>47</v>
      </c>
      <c r="L41" s="5">
        <v>57.784999999999997</v>
      </c>
    </row>
    <row r="42" spans="1:12" x14ac:dyDescent="0.45">
      <c r="A42" s="8" t="s">
        <v>33</v>
      </c>
      <c r="B42" s="8">
        <v>2022</v>
      </c>
      <c r="C42" s="9">
        <v>44696</v>
      </c>
      <c r="D42" s="8" t="s">
        <v>10</v>
      </c>
      <c r="E42" s="8" t="s">
        <v>57</v>
      </c>
      <c r="F42" s="8" t="s">
        <v>46</v>
      </c>
      <c r="G42" s="3">
        <v>23.671232876712327</v>
      </c>
      <c r="H42" s="8">
        <v>2</v>
      </c>
      <c r="I42" s="8">
        <v>40</v>
      </c>
      <c r="J42" s="6">
        <v>6</v>
      </c>
      <c r="K42" s="8">
        <v>46</v>
      </c>
      <c r="L42" s="5">
        <v>57.784999999999997</v>
      </c>
    </row>
    <row r="43" spans="1:12" x14ac:dyDescent="0.45">
      <c r="A43" s="8" t="s">
        <v>33</v>
      </c>
      <c r="B43" s="8">
        <v>2022</v>
      </c>
      <c r="C43" s="9">
        <v>44696</v>
      </c>
      <c r="D43" s="8" t="s">
        <v>10</v>
      </c>
      <c r="E43" s="8" t="s">
        <v>108</v>
      </c>
      <c r="F43" s="8" t="s">
        <v>98</v>
      </c>
      <c r="G43" s="3">
        <v>24.857534246575341</v>
      </c>
      <c r="H43" s="8">
        <v>3</v>
      </c>
      <c r="I43" s="8">
        <v>40</v>
      </c>
      <c r="J43" s="6">
        <v>0</v>
      </c>
      <c r="K43" s="8">
        <v>40</v>
      </c>
      <c r="L43" s="5">
        <v>57.784999999999997</v>
      </c>
    </row>
    <row r="44" spans="1:12" x14ac:dyDescent="0.45">
      <c r="A44" s="12" t="s">
        <v>47</v>
      </c>
      <c r="B44" s="12">
        <v>2022</v>
      </c>
      <c r="C44" s="16">
        <v>44675</v>
      </c>
      <c r="D44" s="12" t="s">
        <v>10</v>
      </c>
      <c r="E44" s="12" t="s">
        <v>108</v>
      </c>
      <c r="F44" s="12" t="s">
        <v>98</v>
      </c>
      <c r="G44" s="3">
        <v>24.8</v>
      </c>
      <c r="H44" s="12">
        <v>1</v>
      </c>
      <c r="I44" s="6">
        <v>0</v>
      </c>
      <c r="J44" s="6">
        <v>12</v>
      </c>
      <c r="K44" s="6">
        <v>12</v>
      </c>
      <c r="L44">
        <v>56.161999999999999</v>
      </c>
    </row>
    <row r="45" spans="1:12" x14ac:dyDescent="0.45">
      <c r="A45" s="12" t="s">
        <v>47</v>
      </c>
      <c r="B45" s="12">
        <v>2022</v>
      </c>
      <c r="C45" s="16">
        <v>44675</v>
      </c>
      <c r="D45" s="12" t="s">
        <v>10</v>
      </c>
      <c r="E45" s="12" t="s">
        <v>11</v>
      </c>
      <c r="F45" s="12" t="s">
        <v>13</v>
      </c>
      <c r="G45" s="3">
        <v>34.200000000000003</v>
      </c>
      <c r="H45" s="12">
        <v>2</v>
      </c>
      <c r="I45" s="6">
        <v>0</v>
      </c>
      <c r="J45" s="6">
        <v>9</v>
      </c>
      <c r="K45" s="6">
        <v>9</v>
      </c>
      <c r="L45">
        <v>56.161999999999999</v>
      </c>
    </row>
    <row r="46" spans="1:12" x14ac:dyDescent="0.45">
      <c r="A46" s="12" t="s">
        <v>47</v>
      </c>
      <c r="B46" s="12">
        <v>2022</v>
      </c>
      <c r="C46" s="16">
        <v>44675</v>
      </c>
      <c r="D46" s="12" t="s">
        <v>10</v>
      </c>
      <c r="E46" s="12" t="s">
        <v>45</v>
      </c>
      <c r="F46" s="12" t="s">
        <v>87</v>
      </c>
      <c r="G46" s="3">
        <v>26.427397260273974</v>
      </c>
      <c r="H46" s="12">
        <v>3</v>
      </c>
      <c r="I46" s="6">
        <v>0</v>
      </c>
      <c r="J46" s="6">
        <v>5</v>
      </c>
      <c r="K46" s="6">
        <v>5</v>
      </c>
      <c r="L46">
        <v>56.161999999999999</v>
      </c>
    </row>
    <row r="47" spans="1:12" x14ac:dyDescent="0.45">
      <c r="A47" s="8" t="s">
        <v>66</v>
      </c>
      <c r="B47" s="8">
        <v>2021</v>
      </c>
      <c r="C47" s="9">
        <v>44492</v>
      </c>
      <c r="D47" s="8" t="s">
        <v>18</v>
      </c>
      <c r="E47" s="8" t="s">
        <v>57</v>
      </c>
      <c r="F47" s="8" t="s">
        <v>46</v>
      </c>
      <c r="G47" s="3">
        <v>23.112328767123287</v>
      </c>
      <c r="H47" s="8">
        <v>1</v>
      </c>
      <c r="I47" s="6">
        <v>20</v>
      </c>
      <c r="J47" s="6">
        <v>8</v>
      </c>
      <c r="K47" s="6">
        <v>28</v>
      </c>
      <c r="L47">
        <v>57.052</v>
      </c>
    </row>
    <row r="48" spans="1:12" x14ac:dyDescent="0.45">
      <c r="A48" s="8" t="s">
        <v>66</v>
      </c>
      <c r="B48" s="8">
        <v>2021</v>
      </c>
      <c r="C48" s="9">
        <v>44492</v>
      </c>
      <c r="D48" s="8" t="s">
        <v>18</v>
      </c>
      <c r="E48" s="8" t="s">
        <v>27</v>
      </c>
      <c r="F48" s="8" t="s">
        <v>29</v>
      </c>
      <c r="G48" s="3">
        <v>23.323287671232876</v>
      </c>
      <c r="H48" s="8">
        <v>2</v>
      </c>
      <c r="I48" s="6">
        <v>20</v>
      </c>
      <c r="J48" s="6">
        <v>4</v>
      </c>
      <c r="K48" s="6">
        <v>24</v>
      </c>
      <c r="L48">
        <v>57.052</v>
      </c>
    </row>
    <row r="49" spans="1:12" x14ac:dyDescent="0.45">
      <c r="A49" s="8" t="s">
        <v>66</v>
      </c>
      <c r="B49" s="8">
        <v>2021</v>
      </c>
      <c r="C49" s="9">
        <v>44492</v>
      </c>
      <c r="D49" s="8" t="s">
        <v>18</v>
      </c>
      <c r="E49" s="8" t="s">
        <v>38</v>
      </c>
      <c r="F49" s="8" t="s">
        <v>40</v>
      </c>
      <c r="G49" s="3">
        <v>30.92876712328767</v>
      </c>
      <c r="H49" s="8">
        <v>3</v>
      </c>
      <c r="I49" s="6">
        <v>20</v>
      </c>
      <c r="J49" s="6">
        <v>1</v>
      </c>
      <c r="K49" s="6">
        <v>21</v>
      </c>
      <c r="L49">
        <v>57.052</v>
      </c>
    </row>
    <row r="50" spans="1:12" x14ac:dyDescent="0.45">
      <c r="A50" s="12" t="s">
        <v>58</v>
      </c>
      <c r="B50" s="12">
        <v>2021</v>
      </c>
      <c r="C50" s="16">
        <v>44451</v>
      </c>
      <c r="D50" s="12" t="s">
        <v>10</v>
      </c>
      <c r="E50" s="12" t="s">
        <v>62</v>
      </c>
      <c r="F50" s="6" t="s">
        <v>63</v>
      </c>
      <c r="G50" s="3">
        <v>34.950684931506849</v>
      </c>
      <c r="H50" s="6">
        <v>1</v>
      </c>
      <c r="I50" s="6">
        <v>20</v>
      </c>
      <c r="J50" s="6">
        <v>6</v>
      </c>
      <c r="K50" s="6">
        <v>26</v>
      </c>
      <c r="L50">
        <v>53.695999999999998</v>
      </c>
    </row>
    <row r="51" spans="1:12" x14ac:dyDescent="0.45">
      <c r="A51" s="12" t="s">
        <v>58</v>
      </c>
      <c r="B51" s="12">
        <v>2021</v>
      </c>
      <c r="C51" s="16">
        <v>44451</v>
      </c>
      <c r="D51" s="12" t="s">
        <v>10</v>
      </c>
      <c r="E51" s="12" t="s">
        <v>88</v>
      </c>
      <c r="F51" s="6" t="s">
        <v>89</v>
      </c>
      <c r="G51" s="3">
        <v>30.668493150684931</v>
      </c>
      <c r="H51" s="6">
        <v>2</v>
      </c>
      <c r="I51" s="6">
        <v>0</v>
      </c>
      <c r="J51" s="6">
        <v>18</v>
      </c>
      <c r="K51" s="6">
        <v>18</v>
      </c>
      <c r="L51">
        <v>53.695999999999998</v>
      </c>
    </row>
    <row r="52" spans="1:12" x14ac:dyDescent="0.45">
      <c r="A52" s="12" t="s">
        <v>58</v>
      </c>
      <c r="B52" s="12">
        <v>2021</v>
      </c>
      <c r="C52" s="16">
        <v>44451</v>
      </c>
      <c r="D52" s="12" t="s">
        <v>10</v>
      </c>
      <c r="E52" s="12" t="s">
        <v>60</v>
      </c>
      <c r="F52" s="6" t="s">
        <v>61</v>
      </c>
      <c r="G52" s="3">
        <v>20.216438356164385</v>
      </c>
      <c r="H52" s="6">
        <v>3</v>
      </c>
      <c r="I52" s="6">
        <v>0</v>
      </c>
      <c r="J52" s="6">
        <v>5</v>
      </c>
      <c r="K52" s="6">
        <v>5</v>
      </c>
      <c r="L52">
        <v>53.695999999999998</v>
      </c>
    </row>
    <row r="53" spans="1:12" x14ac:dyDescent="0.45">
      <c r="A53" s="12" t="s">
        <v>68</v>
      </c>
      <c r="B53" s="12">
        <v>2021</v>
      </c>
      <c r="C53" s="7">
        <v>44413</v>
      </c>
      <c r="D53" s="12" t="s">
        <v>26</v>
      </c>
      <c r="E53" s="6" t="s">
        <v>96</v>
      </c>
      <c r="F53" s="6" t="s">
        <v>15</v>
      </c>
      <c r="G53" s="3">
        <v>26.978082191780821</v>
      </c>
      <c r="H53" s="8">
        <v>1</v>
      </c>
      <c r="I53" s="6">
        <v>20</v>
      </c>
      <c r="J53" s="6">
        <v>10</v>
      </c>
      <c r="K53" s="6">
        <v>30</v>
      </c>
      <c r="L53">
        <v>56.927999999999997</v>
      </c>
    </row>
    <row r="54" spans="1:12" x14ac:dyDescent="0.45">
      <c r="A54" s="12" t="s">
        <v>68</v>
      </c>
      <c r="B54" s="12">
        <v>2021</v>
      </c>
      <c r="C54" s="7">
        <v>44413</v>
      </c>
      <c r="D54" s="12" t="s">
        <v>26</v>
      </c>
      <c r="E54" s="6" t="s">
        <v>51</v>
      </c>
      <c r="F54" s="6" t="s">
        <v>52</v>
      </c>
      <c r="G54" s="3">
        <v>25.915068493150685</v>
      </c>
      <c r="H54" s="8">
        <v>2</v>
      </c>
      <c r="I54" s="6">
        <v>20</v>
      </c>
      <c r="J54" s="6">
        <v>3</v>
      </c>
      <c r="K54" s="6">
        <v>23</v>
      </c>
      <c r="L54">
        <v>56.927999999999997</v>
      </c>
    </row>
    <row r="55" spans="1:12" x14ac:dyDescent="0.45">
      <c r="A55" s="12" t="s">
        <v>68</v>
      </c>
      <c r="B55" s="12">
        <v>2021</v>
      </c>
      <c r="C55" s="7">
        <v>44413</v>
      </c>
      <c r="D55" s="12" t="s">
        <v>26</v>
      </c>
      <c r="E55" s="6" t="s">
        <v>65</v>
      </c>
      <c r="F55" s="6" t="s">
        <v>46</v>
      </c>
      <c r="G55" s="3">
        <v>23.30958904109589</v>
      </c>
      <c r="H55" s="8">
        <v>3</v>
      </c>
      <c r="I55" s="6">
        <v>20</v>
      </c>
      <c r="J55" s="6">
        <v>3</v>
      </c>
      <c r="K55" s="6">
        <v>23</v>
      </c>
      <c r="L55">
        <v>56.927999999999997</v>
      </c>
    </row>
    <row r="56" spans="1:12" x14ac:dyDescent="0.45">
      <c r="A56" s="8" t="s">
        <v>69</v>
      </c>
      <c r="B56" s="8">
        <v>2021</v>
      </c>
      <c r="C56" s="9">
        <v>44388</v>
      </c>
      <c r="D56" s="8" t="s">
        <v>10</v>
      </c>
      <c r="E56" s="8" t="s">
        <v>27</v>
      </c>
      <c r="F56" s="8" t="s">
        <v>29</v>
      </c>
      <c r="G56" s="3">
        <v>23.038356164383561</v>
      </c>
      <c r="H56" s="8">
        <v>1</v>
      </c>
      <c r="I56" s="8">
        <v>20</v>
      </c>
      <c r="J56" s="6">
        <v>7</v>
      </c>
      <c r="K56" s="8">
        <v>27</v>
      </c>
      <c r="L56">
        <v>54.893999999999998</v>
      </c>
    </row>
    <row r="57" spans="1:12" x14ac:dyDescent="0.45">
      <c r="A57" s="8" t="s">
        <v>69</v>
      </c>
      <c r="B57" s="8">
        <v>2021</v>
      </c>
      <c r="C57" s="9">
        <v>44388</v>
      </c>
      <c r="D57" s="8" t="s">
        <v>10</v>
      </c>
      <c r="E57" s="8" t="s">
        <v>93</v>
      </c>
      <c r="F57" s="8" t="s">
        <v>94</v>
      </c>
      <c r="G57" s="3">
        <v>33.317808219178083</v>
      </c>
      <c r="H57" s="8">
        <v>2</v>
      </c>
      <c r="I57" s="8">
        <v>20</v>
      </c>
      <c r="J57" s="6">
        <v>3</v>
      </c>
      <c r="K57" s="8">
        <v>23</v>
      </c>
      <c r="L57">
        <v>54.893999999999998</v>
      </c>
    </row>
    <row r="58" spans="1:12" x14ac:dyDescent="0.45">
      <c r="A58" s="8" t="s">
        <v>69</v>
      </c>
      <c r="B58" s="8">
        <v>2021</v>
      </c>
      <c r="C58" s="9">
        <v>44388</v>
      </c>
      <c r="D58" s="8" t="s">
        <v>10</v>
      </c>
      <c r="E58" s="8" t="s">
        <v>111</v>
      </c>
      <c r="F58" s="8" t="s">
        <v>70</v>
      </c>
      <c r="G58" s="3">
        <v>21.254794520547946</v>
      </c>
      <c r="H58" s="8">
        <v>3</v>
      </c>
      <c r="I58" s="8">
        <v>20</v>
      </c>
      <c r="J58" s="6">
        <v>3</v>
      </c>
      <c r="K58" s="8">
        <v>23</v>
      </c>
      <c r="L58">
        <v>54.893999999999998</v>
      </c>
    </row>
    <row r="59" spans="1:12" x14ac:dyDescent="0.45">
      <c r="A59" s="12" t="s">
        <v>71</v>
      </c>
      <c r="B59" s="12">
        <v>2020</v>
      </c>
      <c r="C59" s="16">
        <v>43890</v>
      </c>
      <c r="D59" s="12" t="s">
        <v>18</v>
      </c>
      <c r="E59" s="1" t="s">
        <v>36</v>
      </c>
      <c r="F59" s="1" t="s">
        <v>15</v>
      </c>
      <c r="G59" s="3">
        <v>25.545205479452054</v>
      </c>
      <c r="H59" s="18">
        <v>1</v>
      </c>
      <c r="I59" s="1">
        <v>20</v>
      </c>
      <c r="J59" s="6">
        <v>11</v>
      </c>
      <c r="K59" s="1">
        <v>31</v>
      </c>
      <c r="L59" s="1">
        <v>57.43</v>
      </c>
    </row>
    <row r="60" spans="1:12" x14ac:dyDescent="0.45">
      <c r="A60" s="12" t="s">
        <v>71</v>
      </c>
      <c r="B60" s="12">
        <v>2020</v>
      </c>
      <c r="C60" s="16">
        <v>43890</v>
      </c>
      <c r="D60" s="12" t="s">
        <v>18</v>
      </c>
      <c r="E60" s="1" t="s">
        <v>51</v>
      </c>
      <c r="F60" s="1" t="s">
        <v>52</v>
      </c>
      <c r="G60" s="3">
        <v>24.482191780821918</v>
      </c>
      <c r="H60" s="18">
        <v>2</v>
      </c>
      <c r="I60" s="1">
        <v>20</v>
      </c>
      <c r="J60" s="6">
        <v>11</v>
      </c>
      <c r="K60" s="1">
        <v>31</v>
      </c>
      <c r="L60" s="1">
        <v>57.43</v>
      </c>
    </row>
    <row r="61" spans="1:12" x14ac:dyDescent="0.45">
      <c r="A61" s="12" t="s">
        <v>71</v>
      </c>
      <c r="B61" s="12">
        <v>2020</v>
      </c>
      <c r="C61" s="16">
        <v>43890</v>
      </c>
      <c r="D61" s="12" t="s">
        <v>18</v>
      </c>
      <c r="E61" s="1" t="s">
        <v>19</v>
      </c>
      <c r="F61" s="1" t="s">
        <v>21</v>
      </c>
      <c r="G61" s="3">
        <v>34.087671232876716</v>
      </c>
      <c r="H61" s="18">
        <v>3</v>
      </c>
      <c r="I61" s="1">
        <v>20</v>
      </c>
      <c r="J61" s="6">
        <v>5</v>
      </c>
      <c r="K61" s="1">
        <v>25</v>
      </c>
      <c r="L61" s="1">
        <v>57.43</v>
      </c>
    </row>
    <row r="62" spans="1:12" x14ac:dyDescent="0.45">
      <c r="A62" s="17" t="s">
        <v>33</v>
      </c>
      <c r="B62" s="17">
        <v>2020</v>
      </c>
      <c r="C62" s="19">
        <v>43855</v>
      </c>
      <c r="D62" s="17" t="s">
        <v>10</v>
      </c>
      <c r="E62" s="5" t="s">
        <v>36</v>
      </c>
      <c r="F62" s="5" t="s">
        <v>15</v>
      </c>
      <c r="G62" s="3">
        <v>25.449315068493149</v>
      </c>
      <c r="H62" s="17">
        <v>1</v>
      </c>
      <c r="I62" s="5">
        <v>40</v>
      </c>
      <c r="J62" s="6">
        <v>11</v>
      </c>
      <c r="K62" s="5">
        <v>51</v>
      </c>
      <c r="L62" s="5">
        <v>53.741</v>
      </c>
    </row>
    <row r="63" spans="1:12" x14ac:dyDescent="0.45">
      <c r="A63" s="17" t="s">
        <v>33</v>
      </c>
      <c r="B63" s="17">
        <v>2020</v>
      </c>
      <c r="C63" s="19">
        <v>43855</v>
      </c>
      <c r="D63" s="17" t="s">
        <v>10</v>
      </c>
      <c r="E63" s="5" t="s">
        <v>51</v>
      </c>
      <c r="F63" s="5" t="s">
        <v>52</v>
      </c>
      <c r="G63" s="3">
        <v>24.386301369863013</v>
      </c>
      <c r="H63" s="17">
        <v>2</v>
      </c>
      <c r="I63" s="5">
        <v>40</v>
      </c>
      <c r="J63" s="6">
        <v>5</v>
      </c>
      <c r="K63" s="5">
        <v>47</v>
      </c>
      <c r="L63" s="5">
        <v>53.741</v>
      </c>
    </row>
    <row r="64" spans="1:12" x14ac:dyDescent="0.45">
      <c r="A64" s="17" t="s">
        <v>33</v>
      </c>
      <c r="B64" s="17">
        <v>2020</v>
      </c>
      <c r="C64" s="19">
        <v>43855</v>
      </c>
      <c r="D64" s="17" t="s">
        <v>10</v>
      </c>
      <c r="E64" s="5" t="s">
        <v>57</v>
      </c>
      <c r="F64" s="5" t="s">
        <v>46</v>
      </c>
      <c r="G64" s="3">
        <v>21.367123287671234</v>
      </c>
      <c r="H64" s="17">
        <v>3</v>
      </c>
      <c r="I64" s="5">
        <v>40</v>
      </c>
      <c r="J64" s="6">
        <v>6</v>
      </c>
      <c r="K64" s="5">
        <v>46</v>
      </c>
      <c r="L64" s="5">
        <v>53.741</v>
      </c>
    </row>
    <row r="65" spans="1:12" x14ac:dyDescent="0.45">
      <c r="A65" s="12" t="s">
        <v>72</v>
      </c>
      <c r="B65" s="12">
        <v>2019</v>
      </c>
      <c r="C65" s="16">
        <v>43813</v>
      </c>
      <c r="D65" s="12" t="s">
        <v>10</v>
      </c>
      <c r="E65" s="1" t="s">
        <v>38</v>
      </c>
      <c r="F65" s="1" t="s">
        <v>40</v>
      </c>
      <c r="G65" s="3">
        <v>29.068493150684933</v>
      </c>
      <c r="H65" s="18">
        <v>1</v>
      </c>
      <c r="I65" s="1">
        <v>20</v>
      </c>
      <c r="J65" s="6">
        <v>10</v>
      </c>
      <c r="K65" s="1">
        <v>30</v>
      </c>
      <c r="L65" s="1">
        <v>54.131999999999998</v>
      </c>
    </row>
    <row r="66" spans="1:12" x14ac:dyDescent="0.45">
      <c r="A66" s="12" t="s">
        <v>72</v>
      </c>
      <c r="B66" s="12">
        <v>2019</v>
      </c>
      <c r="C66" s="16">
        <v>43813</v>
      </c>
      <c r="D66" s="12" t="s">
        <v>10</v>
      </c>
      <c r="E66" s="1" t="s">
        <v>41</v>
      </c>
      <c r="F66" s="1" t="s">
        <v>92</v>
      </c>
      <c r="G66" s="3">
        <v>26.013698630136986</v>
      </c>
      <c r="H66" s="18">
        <v>2</v>
      </c>
      <c r="I66" s="1">
        <v>20</v>
      </c>
      <c r="J66" s="6">
        <v>8</v>
      </c>
      <c r="K66" s="1">
        <v>28</v>
      </c>
      <c r="L66" s="1">
        <v>54.131999999999998</v>
      </c>
    </row>
    <row r="67" spans="1:12" x14ac:dyDescent="0.45">
      <c r="A67" s="12" t="s">
        <v>72</v>
      </c>
      <c r="B67" s="12">
        <v>2019</v>
      </c>
      <c r="C67" s="16">
        <v>43813</v>
      </c>
      <c r="D67" s="12" t="s">
        <v>10</v>
      </c>
      <c r="E67" s="1" t="s">
        <v>93</v>
      </c>
      <c r="F67" s="1" t="s">
        <v>94</v>
      </c>
      <c r="G67" s="3">
        <v>31.742465753424657</v>
      </c>
      <c r="H67" s="18">
        <v>3</v>
      </c>
      <c r="I67" s="1">
        <v>20</v>
      </c>
      <c r="J67" s="6">
        <v>6</v>
      </c>
      <c r="K67" s="1">
        <v>26</v>
      </c>
      <c r="L67" s="1">
        <v>54.131999999999998</v>
      </c>
    </row>
    <row r="68" spans="1:12" x14ac:dyDescent="0.45">
      <c r="A68" s="8" t="s">
        <v>76</v>
      </c>
      <c r="B68" s="8">
        <v>2019</v>
      </c>
      <c r="C68" s="9">
        <v>43806</v>
      </c>
      <c r="D68" s="8" t="s">
        <v>10</v>
      </c>
      <c r="E68" s="5" t="s">
        <v>41</v>
      </c>
      <c r="F68" s="5" t="s">
        <v>43</v>
      </c>
      <c r="G68" s="3">
        <v>25.994520547945207</v>
      </c>
      <c r="H68" s="17">
        <v>1</v>
      </c>
      <c r="I68" s="5">
        <v>20</v>
      </c>
      <c r="J68" s="6">
        <v>5</v>
      </c>
      <c r="K68" s="5">
        <v>25</v>
      </c>
      <c r="L68" s="5">
        <v>55.6</v>
      </c>
    </row>
    <row r="69" spans="1:12" x14ac:dyDescent="0.45">
      <c r="A69" s="8" t="s">
        <v>76</v>
      </c>
      <c r="B69" s="8">
        <v>2019</v>
      </c>
      <c r="C69" s="9">
        <v>43806</v>
      </c>
      <c r="D69" s="8" t="s">
        <v>10</v>
      </c>
      <c r="E69" s="5" t="s">
        <v>112</v>
      </c>
      <c r="F69" s="5" t="s">
        <v>113</v>
      </c>
      <c r="G69" s="3">
        <v>28.13150684931507</v>
      </c>
      <c r="H69" s="17">
        <v>2</v>
      </c>
      <c r="I69" s="5">
        <v>20</v>
      </c>
      <c r="J69" s="6">
        <v>5</v>
      </c>
      <c r="K69" s="5">
        <v>25</v>
      </c>
      <c r="L69" s="5">
        <v>55.6</v>
      </c>
    </row>
    <row r="70" spans="1:12" x14ac:dyDescent="0.45">
      <c r="A70" s="8" t="s">
        <v>76</v>
      </c>
      <c r="B70" s="8">
        <v>2019</v>
      </c>
      <c r="C70" s="9">
        <v>43806</v>
      </c>
      <c r="D70" s="8" t="s">
        <v>10</v>
      </c>
      <c r="E70" s="5" t="s">
        <v>74</v>
      </c>
      <c r="F70" s="5" t="s">
        <v>75</v>
      </c>
      <c r="G70" s="3">
        <v>31.926027397260274</v>
      </c>
      <c r="H70" s="17">
        <v>3</v>
      </c>
      <c r="I70" s="5">
        <v>20</v>
      </c>
      <c r="J70" s="6">
        <v>3</v>
      </c>
      <c r="K70" s="5">
        <v>23</v>
      </c>
      <c r="L70" s="5">
        <v>55.6</v>
      </c>
    </row>
    <row r="71" spans="1:12" x14ac:dyDescent="0.45">
      <c r="A71" s="18" t="s">
        <v>37</v>
      </c>
      <c r="B71" s="18">
        <v>2019</v>
      </c>
      <c r="C71" s="11">
        <v>43799</v>
      </c>
      <c r="D71" s="18" t="s">
        <v>10</v>
      </c>
      <c r="E71" s="1" t="s">
        <v>19</v>
      </c>
      <c r="F71" s="1" t="s">
        <v>21</v>
      </c>
      <c r="G71" s="3">
        <v>33.838356164383562</v>
      </c>
      <c r="H71" s="18">
        <v>1</v>
      </c>
      <c r="I71" s="1">
        <v>20</v>
      </c>
      <c r="J71" s="6">
        <v>4</v>
      </c>
      <c r="K71" s="1">
        <v>24</v>
      </c>
      <c r="L71" s="1">
        <v>56.533000000000001</v>
      </c>
    </row>
    <row r="72" spans="1:12" x14ac:dyDescent="0.45">
      <c r="A72" s="18" t="s">
        <v>37</v>
      </c>
      <c r="B72" s="18">
        <v>2019</v>
      </c>
      <c r="C72" s="11">
        <v>43799</v>
      </c>
      <c r="D72" s="18" t="s">
        <v>10</v>
      </c>
      <c r="E72" s="1" t="s">
        <v>114</v>
      </c>
      <c r="F72" s="1" t="s">
        <v>61</v>
      </c>
      <c r="G72" s="3">
        <v>26.208219178082192</v>
      </c>
      <c r="H72" s="18">
        <v>2</v>
      </c>
      <c r="I72" s="1">
        <v>0</v>
      </c>
      <c r="J72" s="6">
        <v>12</v>
      </c>
      <c r="K72" s="1">
        <v>12</v>
      </c>
      <c r="L72" s="1">
        <v>56.533000000000001</v>
      </c>
    </row>
    <row r="73" spans="1:12" x14ac:dyDescent="0.45">
      <c r="A73" s="18" t="s">
        <v>37</v>
      </c>
      <c r="B73" s="18">
        <v>2019</v>
      </c>
      <c r="C73" s="11">
        <v>43799</v>
      </c>
      <c r="D73" s="18" t="s">
        <v>10</v>
      </c>
      <c r="E73" s="1" t="s">
        <v>115</v>
      </c>
      <c r="F73" s="1" t="s">
        <v>116</v>
      </c>
      <c r="G73" s="3">
        <v>23.523287671232875</v>
      </c>
      <c r="H73" s="18">
        <v>3</v>
      </c>
      <c r="I73" s="1">
        <v>20</v>
      </c>
      <c r="J73" s="6">
        <v>6</v>
      </c>
      <c r="K73" s="1">
        <v>6</v>
      </c>
      <c r="L73" s="1">
        <v>56.533000000000001</v>
      </c>
    </row>
    <row r="74" spans="1:12" x14ac:dyDescent="0.45">
      <c r="A74" s="17" t="s">
        <v>47</v>
      </c>
      <c r="B74" s="17">
        <v>2019</v>
      </c>
      <c r="C74" s="19">
        <v>43779</v>
      </c>
      <c r="D74" s="17" t="s">
        <v>10</v>
      </c>
      <c r="E74" s="5" t="s">
        <v>48</v>
      </c>
      <c r="F74" s="5" t="s">
        <v>46</v>
      </c>
      <c r="G74" s="3">
        <v>24.227397260273971</v>
      </c>
      <c r="H74" s="17">
        <v>1</v>
      </c>
      <c r="I74" s="5">
        <v>20</v>
      </c>
      <c r="J74" s="6">
        <v>4</v>
      </c>
      <c r="K74" s="5">
        <v>24</v>
      </c>
      <c r="L74">
        <v>56.436</v>
      </c>
    </row>
    <row r="75" spans="1:12" x14ac:dyDescent="0.45">
      <c r="A75" s="17" t="s">
        <v>47</v>
      </c>
      <c r="B75" s="17">
        <v>2019</v>
      </c>
      <c r="C75" s="19">
        <v>43779</v>
      </c>
      <c r="D75" s="17" t="s">
        <v>10</v>
      </c>
      <c r="E75" s="5" t="s">
        <v>117</v>
      </c>
      <c r="F75" s="5" t="s">
        <v>118</v>
      </c>
      <c r="G75" s="3">
        <v>22.284931506849315</v>
      </c>
      <c r="H75" s="17">
        <v>2</v>
      </c>
      <c r="I75" s="5">
        <v>20</v>
      </c>
      <c r="J75" s="6">
        <v>3</v>
      </c>
      <c r="K75" s="5">
        <v>23</v>
      </c>
      <c r="L75">
        <v>56.436</v>
      </c>
    </row>
    <row r="76" spans="1:12" x14ac:dyDescent="0.45">
      <c r="A76" s="17" t="s">
        <v>47</v>
      </c>
      <c r="B76" s="17">
        <v>2019</v>
      </c>
      <c r="C76" s="19">
        <v>43779</v>
      </c>
      <c r="D76" s="17" t="s">
        <v>10</v>
      </c>
      <c r="E76" s="5" t="s">
        <v>38</v>
      </c>
      <c r="F76" s="5" t="s">
        <v>40</v>
      </c>
      <c r="G76" s="3">
        <v>28.975342465753425</v>
      </c>
      <c r="H76" s="17">
        <v>3</v>
      </c>
      <c r="I76" s="5">
        <v>20</v>
      </c>
      <c r="J76" s="6">
        <v>3</v>
      </c>
      <c r="K76" s="5">
        <v>23</v>
      </c>
      <c r="L76">
        <v>56.436</v>
      </c>
    </row>
    <row r="77" spans="1:12" x14ac:dyDescent="0.45">
      <c r="A77" s="18" t="s">
        <v>77</v>
      </c>
      <c r="B77" s="18">
        <v>2019</v>
      </c>
      <c r="C77" s="11">
        <v>43771</v>
      </c>
      <c r="D77" s="18" t="s">
        <v>10</v>
      </c>
      <c r="E77" s="1" t="s">
        <v>12</v>
      </c>
      <c r="F77" s="1" t="s">
        <v>13</v>
      </c>
      <c r="G77" s="3">
        <v>29.539726027397261</v>
      </c>
      <c r="H77" s="18">
        <v>1</v>
      </c>
      <c r="I77" s="1">
        <v>20</v>
      </c>
      <c r="J77" s="6">
        <v>10</v>
      </c>
      <c r="K77" s="1">
        <v>30</v>
      </c>
      <c r="L77" s="1">
        <v>56.390999999999998</v>
      </c>
    </row>
    <row r="78" spans="1:12" x14ac:dyDescent="0.45">
      <c r="A78" s="18" t="s">
        <v>77</v>
      </c>
      <c r="B78" s="18">
        <v>2019</v>
      </c>
      <c r="C78" s="11">
        <v>43771</v>
      </c>
      <c r="D78" s="18" t="s">
        <v>10</v>
      </c>
      <c r="E78" s="1" t="s">
        <v>65</v>
      </c>
      <c r="F78" s="1" t="s">
        <v>46</v>
      </c>
      <c r="G78" s="3">
        <v>21.550684931506851</v>
      </c>
      <c r="H78" s="18">
        <v>2</v>
      </c>
      <c r="I78" s="1">
        <v>20</v>
      </c>
      <c r="J78" s="6">
        <v>5</v>
      </c>
      <c r="K78" s="1">
        <v>25</v>
      </c>
      <c r="L78" s="1">
        <v>56.390999999999998</v>
      </c>
    </row>
    <row r="79" spans="1:12" x14ac:dyDescent="0.45">
      <c r="A79" s="18" t="s">
        <v>77</v>
      </c>
      <c r="B79" s="18">
        <v>2019</v>
      </c>
      <c r="C79" s="11">
        <v>43771</v>
      </c>
      <c r="D79" s="18" t="s">
        <v>10</v>
      </c>
      <c r="E79" s="1" t="s">
        <v>31</v>
      </c>
      <c r="F79" s="1" t="s">
        <v>32</v>
      </c>
      <c r="G79" s="3">
        <v>30.753424657534246</v>
      </c>
      <c r="H79" s="18">
        <v>3</v>
      </c>
      <c r="I79" s="1">
        <v>20</v>
      </c>
      <c r="J79" s="6">
        <v>4</v>
      </c>
      <c r="K79" s="1">
        <v>24</v>
      </c>
      <c r="L79" s="1">
        <v>56.390999999999998</v>
      </c>
    </row>
    <row r="80" spans="1:12" x14ac:dyDescent="0.45">
      <c r="A80" s="5" t="s">
        <v>78</v>
      </c>
      <c r="B80" s="5">
        <v>2019</v>
      </c>
      <c r="C80" s="19">
        <v>43526</v>
      </c>
      <c r="D80" s="5" t="s">
        <v>18</v>
      </c>
      <c r="E80" s="5" t="s">
        <v>57</v>
      </c>
      <c r="F80" s="5" t="s">
        <v>46</v>
      </c>
      <c r="G80" s="3">
        <v>20.465753424657535</v>
      </c>
      <c r="H80" s="17">
        <v>1</v>
      </c>
      <c r="I80" s="5">
        <v>20</v>
      </c>
      <c r="J80" s="6">
        <v>5</v>
      </c>
      <c r="K80" s="5">
        <v>25</v>
      </c>
      <c r="L80">
        <v>56.91</v>
      </c>
    </row>
    <row r="81" spans="1:12" x14ac:dyDescent="0.45">
      <c r="A81" s="5" t="s">
        <v>78</v>
      </c>
      <c r="B81" s="5">
        <v>2019</v>
      </c>
      <c r="C81" s="19">
        <v>43526</v>
      </c>
      <c r="D81" s="5" t="s">
        <v>18</v>
      </c>
      <c r="E81" s="5" t="s">
        <v>41</v>
      </c>
      <c r="F81" s="5" t="s">
        <v>43</v>
      </c>
      <c r="G81" s="3">
        <v>25.227397260273971</v>
      </c>
      <c r="H81" s="17">
        <v>2</v>
      </c>
      <c r="I81" s="5">
        <v>20</v>
      </c>
      <c r="J81" s="6">
        <v>2</v>
      </c>
      <c r="K81" s="5">
        <v>22</v>
      </c>
      <c r="L81">
        <v>56.91</v>
      </c>
    </row>
    <row r="82" spans="1:12" x14ac:dyDescent="0.45">
      <c r="A82" s="5" t="s">
        <v>78</v>
      </c>
      <c r="B82" s="5">
        <v>2019</v>
      </c>
      <c r="C82" s="19">
        <v>43526</v>
      </c>
      <c r="D82" s="5" t="s">
        <v>18</v>
      </c>
      <c r="E82" s="5" t="s">
        <v>51</v>
      </c>
      <c r="F82" s="5" t="s">
        <v>52</v>
      </c>
      <c r="G82" s="3">
        <v>23.484931506849314</v>
      </c>
      <c r="H82" s="17">
        <v>3</v>
      </c>
      <c r="I82" s="5">
        <v>0</v>
      </c>
      <c r="J82" s="6">
        <v>15</v>
      </c>
      <c r="K82" s="5">
        <v>15</v>
      </c>
      <c r="L82">
        <v>56.91</v>
      </c>
    </row>
    <row r="83" spans="1:12" x14ac:dyDescent="0.45">
      <c r="A83" s="1" t="s">
        <v>37</v>
      </c>
      <c r="B83" s="1">
        <v>2019</v>
      </c>
      <c r="C83" s="11">
        <v>43491</v>
      </c>
      <c r="D83" s="1" t="s">
        <v>10</v>
      </c>
      <c r="E83" s="1" t="s">
        <v>74</v>
      </c>
      <c r="F83" s="1" t="s">
        <v>75</v>
      </c>
      <c r="G83" s="3">
        <v>31.063013698630137</v>
      </c>
      <c r="H83" s="18">
        <v>1</v>
      </c>
      <c r="I83" s="1">
        <v>20</v>
      </c>
      <c r="J83" s="6">
        <v>6</v>
      </c>
      <c r="K83" s="1">
        <v>26</v>
      </c>
      <c r="L83">
        <v>58.8</v>
      </c>
    </row>
    <row r="84" spans="1:12" x14ac:dyDescent="0.45">
      <c r="A84" s="1" t="s">
        <v>37</v>
      </c>
      <c r="B84" s="1">
        <v>2019</v>
      </c>
      <c r="C84" s="11">
        <v>43491</v>
      </c>
      <c r="D84" s="1" t="s">
        <v>10</v>
      </c>
      <c r="E84" s="1" t="s">
        <v>39</v>
      </c>
      <c r="F84" s="1" t="s">
        <v>40</v>
      </c>
      <c r="G84" s="3">
        <v>20.723287671232878</v>
      </c>
      <c r="H84" s="18">
        <v>2</v>
      </c>
      <c r="I84" s="1">
        <v>20</v>
      </c>
      <c r="J84" s="6">
        <v>5</v>
      </c>
      <c r="K84" s="1">
        <v>25</v>
      </c>
      <c r="L84">
        <v>58.8</v>
      </c>
    </row>
    <row r="85" spans="1:12" x14ac:dyDescent="0.45">
      <c r="A85" s="1" t="s">
        <v>37</v>
      </c>
      <c r="B85" s="1">
        <v>2019</v>
      </c>
      <c r="C85" s="11">
        <v>43491</v>
      </c>
      <c r="D85" s="1" t="s">
        <v>10</v>
      </c>
      <c r="E85" s="1" t="s">
        <v>93</v>
      </c>
      <c r="F85" s="1" t="s">
        <v>94</v>
      </c>
      <c r="G85" s="3">
        <v>30.860273972602741</v>
      </c>
      <c r="H85" s="18">
        <v>3</v>
      </c>
      <c r="I85" s="1">
        <v>20</v>
      </c>
      <c r="J85" s="6">
        <v>2</v>
      </c>
      <c r="K85" s="1">
        <v>22</v>
      </c>
      <c r="L85">
        <v>58.8</v>
      </c>
    </row>
    <row r="86" spans="1:12" x14ac:dyDescent="0.45">
      <c r="A86" s="8" t="s">
        <v>76</v>
      </c>
      <c r="B86" s="8">
        <v>2019</v>
      </c>
      <c r="C86" s="9">
        <v>43485</v>
      </c>
      <c r="D86" s="8" t="s">
        <v>10</v>
      </c>
      <c r="E86" s="5" t="s">
        <v>119</v>
      </c>
      <c r="F86" s="5" t="s">
        <v>32</v>
      </c>
      <c r="G86" s="3">
        <v>26.942465753424656</v>
      </c>
      <c r="H86" s="17">
        <v>1</v>
      </c>
      <c r="I86" s="5">
        <v>20</v>
      </c>
      <c r="J86" s="6">
        <v>5</v>
      </c>
      <c r="K86" s="5">
        <v>25</v>
      </c>
      <c r="L86" s="5">
        <v>55.996000000000002</v>
      </c>
    </row>
    <row r="87" spans="1:12" x14ac:dyDescent="0.45">
      <c r="A87" s="8" t="s">
        <v>76</v>
      </c>
      <c r="B87" s="8">
        <v>2019</v>
      </c>
      <c r="C87" s="9">
        <v>43485</v>
      </c>
      <c r="D87" s="8" t="s">
        <v>10</v>
      </c>
      <c r="E87" s="5" t="s">
        <v>41</v>
      </c>
      <c r="F87" s="5" t="s">
        <v>43</v>
      </c>
      <c r="G87" s="3">
        <v>25.115068493150684</v>
      </c>
      <c r="H87" s="17">
        <v>2</v>
      </c>
      <c r="I87" s="5">
        <v>20</v>
      </c>
      <c r="J87" s="6">
        <v>5</v>
      </c>
      <c r="K87" s="5">
        <v>25</v>
      </c>
      <c r="L87" s="5">
        <v>55.996000000000002</v>
      </c>
    </row>
    <row r="88" spans="1:12" x14ac:dyDescent="0.45">
      <c r="A88" s="8" t="s">
        <v>76</v>
      </c>
      <c r="B88" s="8">
        <v>2019</v>
      </c>
      <c r="C88" s="9">
        <v>43485</v>
      </c>
      <c r="D88" s="8" t="s">
        <v>10</v>
      </c>
      <c r="E88" s="5" t="s">
        <v>120</v>
      </c>
      <c r="F88" s="5" t="s">
        <v>121</v>
      </c>
      <c r="G88" s="3">
        <v>28.336986301369862</v>
      </c>
      <c r="H88" s="17">
        <v>3</v>
      </c>
      <c r="I88" s="5">
        <v>20</v>
      </c>
      <c r="J88" s="6">
        <v>5</v>
      </c>
      <c r="K88" s="5">
        <v>25</v>
      </c>
      <c r="L88" s="5">
        <v>55.996000000000002</v>
      </c>
    </row>
    <row r="89" spans="1:12" x14ac:dyDescent="0.45">
      <c r="A89" s="12" t="s">
        <v>95</v>
      </c>
      <c r="B89" s="12">
        <v>2018</v>
      </c>
      <c r="C89" s="16">
        <v>43450</v>
      </c>
      <c r="D89" s="12" t="s">
        <v>10</v>
      </c>
      <c r="E89" s="1" t="s">
        <v>11</v>
      </c>
      <c r="F89" s="1" t="s">
        <v>13</v>
      </c>
      <c r="G89" s="3">
        <v>30.843835616438355</v>
      </c>
      <c r="H89" s="18">
        <v>1</v>
      </c>
      <c r="I89" s="1">
        <v>20</v>
      </c>
      <c r="J89" s="6">
        <v>6</v>
      </c>
      <c r="K89" s="1">
        <v>26</v>
      </c>
      <c r="L89">
        <v>56.902000000000001</v>
      </c>
    </row>
    <row r="90" spans="1:12" x14ac:dyDescent="0.45">
      <c r="A90" s="1" t="s">
        <v>95</v>
      </c>
      <c r="B90" s="18">
        <v>2018</v>
      </c>
      <c r="C90" s="11">
        <v>43450</v>
      </c>
      <c r="D90" s="18" t="s">
        <v>10</v>
      </c>
      <c r="E90" s="1" t="s">
        <v>65</v>
      </c>
      <c r="F90" s="1" t="s">
        <v>46</v>
      </c>
      <c r="G90" s="3">
        <v>20.671232876712327</v>
      </c>
      <c r="H90" s="18">
        <v>2</v>
      </c>
      <c r="I90" s="1">
        <v>20</v>
      </c>
      <c r="J90" s="6">
        <v>5</v>
      </c>
      <c r="K90" s="1">
        <v>25</v>
      </c>
      <c r="L90">
        <v>56.902000000000001</v>
      </c>
    </row>
    <row r="91" spans="1:12" x14ac:dyDescent="0.45">
      <c r="A91" s="1" t="s">
        <v>95</v>
      </c>
      <c r="B91" s="18">
        <v>2018</v>
      </c>
      <c r="C91" s="11">
        <v>43450</v>
      </c>
      <c r="D91" s="18" t="s">
        <v>10</v>
      </c>
      <c r="E91" s="1" t="s">
        <v>93</v>
      </c>
      <c r="F91" s="1" t="s">
        <v>94</v>
      </c>
      <c r="G91" s="3">
        <v>30.747945205479454</v>
      </c>
      <c r="H91" s="18">
        <v>3</v>
      </c>
      <c r="I91" s="1">
        <v>20</v>
      </c>
      <c r="J91" s="6">
        <v>4</v>
      </c>
      <c r="K91" s="1">
        <v>24</v>
      </c>
      <c r="L91">
        <v>56.902000000000001</v>
      </c>
    </row>
    <row r="92" spans="1:12" x14ac:dyDescent="0.45">
      <c r="A92" s="5" t="s">
        <v>71</v>
      </c>
      <c r="B92" s="17">
        <v>2018</v>
      </c>
      <c r="C92" s="19">
        <v>43436</v>
      </c>
      <c r="D92" s="17" t="s">
        <v>10</v>
      </c>
      <c r="E92" s="5" t="s">
        <v>12</v>
      </c>
      <c r="F92" s="5" t="s">
        <v>13</v>
      </c>
      <c r="G92" s="3">
        <v>28.621917808219177</v>
      </c>
      <c r="H92" s="17">
        <v>1</v>
      </c>
      <c r="I92" s="5">
        <v>0</v>
      </c>
      <c r="J92" s="6">
        <v>8</v>
      </c>
      <c r="K92" s="5">
        <v>8</v>
      </c>
      <c r="L92" s="5">
        <v>55.228000000000002</v>
      </c>
    </row>
    <row r="93" spans="1:12" x14ac:dyDescent="0.45">
      <c r="A93" s="5" t="s">
        <v>71</v>
      </c>
      <c r="B93" s="17">
        <v>2018</v>
      </c>
      <c r="C93" s="19">
        <v>43436</v>
      </c>
      <c r="D93" s="17" t="s">
        <v>10</v>
      </c>
      <c r="E93" s="5" t="s">
        <v>73</v>
      </c>
      <c r="F93" s="5" t="s">
        <v>75</v>
      </c>
      <c r="G93" s="3">
        <v>22.884931506849316</v>
      </c>
      <c r="H93" s="17">
        <v>2</v>
      </c>
      <c r="I93" s="5">
        <v>0</v>
      </c>
      <c r="J93" s="6">
        <v>8</v>
      </c>
      <c r="K93" s="5">
        <v>8</v>
      </c>
      <c r="L93" s="5">
        <v>55.228000000000002</v>
      </c>
    </row>
    <row r="94" spans="1:12" x14ac:dyDescent="0.45">
      <c r="A94" s="5" t="s">
        <v>71</v>
      </c>
      <c r="B94" s="17">
        <v>2018</v>
      </c>
      <c r="C94" s="19">
        <v>43436</v>
      </c>
      <c r="D94" s="17" t="s">
        <v>10</v>
      </c>
      <c r="E94" s="5" t="s">
        <v>122</v>
      </c>
      <c r="F94" s="5" t="s">
        <v>123</v>
      </c>
      <c r="G94" s="3">
        <v>19.126027397260273</v>
      </c>
      <c r="H94" s="17">
        <v>3</v>
      </c>
      <c r="I94" s="5">
        <v>0</v>
      </c>
      <c r="J94" s="6">
        <v>4</v>
      </c>
      <c r="K94" s="5">
        <v>4</v>
      </c>
      <c r="L94" s="5">
        <v>55.228000000000002</v>
      </c>
    </row>
    <row r="95" spans="1:12" x14ac:dyDescent="0.45">
      <c r="A95" s="1" t="s">
        <v>33</v>
      </c>
      <c r="B95" s="1">
        <v>2018</v>
      </c>
      <c r="C95" s="2">
        <v>43398</v>
      </c>
      <c r="D95" s="1" t="s">
        <v>10</v>
      </c>
      <c r="E95" s="5" t="s">
        <v>48</v>
      </c>
      <c r="F95" s="5" t="s">
        <v>46</v>
      </c>
      <c r="H95" s="17">
        <v>1</v>
      </c>
      <c r="I95" s="5">
        <v>20</v>
      </c>
      <c r="J95" s="10">
        <v>8</v>
      </c>
      <c r="K95" s="5">
        <v>28</v>
      </c>
      <c r="L95" s="5">
        <v>56.639000000000003</v>
      </c>
    </row>
    <row r="96" spans="1:12" x14ac:dyDescent="0.45">
      <c r="A96" s="1" t="s">
        <v>33</v>
      </c>
      <c r="B96" s="1">
        <v>2018</v>
      </c>
      <c r="C96" s="2">
        <v>43398</v>
      </c>
      <c r="D96" s="1" t="s">
        <v>10</v>
      </c>
      <c r="E96" s="5" t="s">
        <v>22</v>
      </c>
      <c r="F96" s="5" t="s">
        <v>16</v>
      </c>
      <c r="H96" s="17">
        <v>2</v>
      </c>
      <c r="I96" s="5">
        <v>20</v>
      </c>
      <c r="J96" s="10">
        <v>4</v>
      </c>
      <c r="K96" s="5">
        <v>24</v>
      </c>
      <c r="L96" s="5">
        <v>56.639000000000003</v>
      </c>
    </row>
    <row r="97" spans="1:12" x14ac:dyDescent="0.45">
      <c r="A97" s="1" t="s">
        <v>33</v>
      </c>
      <c r="B97" s="1">
        <v>2018</v>
      </c>
      <c r="C97" s="2">
        <v>43398</v>
      </c>
      <c r="D97" s="1" t="s">
        <v>10</v>
      </c>
      <c r="E97" s="5" t="s">
        <v>39</v>
      </c>
      <c r="F97" s="5" t="s">
        <v>40</v>
      </c>
      <c r="H97" s="17">
        <v>3</v>
      </c>
      <c r="I97" s="5">
        <v>20</v>
      </c>
      <c r="J97" s="10">
        <v>4</v>
      </c>
      <c r="K97" s="5">
        <v>24</v>
      </c>
      <c r="L97" s="5">
        <v>56.639000000000003</v>
      </c>
    </row>
    <row r="98" spans="1:12" x14ac:dyDescent="0.45">
      <c r="A98" s="1" t="s">
        <v>25</v>
      </c>
      <c r="B98" s="1">
        <v>2018</v>
      </c>
      <c r="C98" s="2">
        <v>43393</v>
      </c>
      <c r="D98" s="1" t="s">
        <v>10</v>
      </c>
      <c r="E98" s="5" t="s">
        <v>93</v>
      </c>
      <c r="F98" s="5" t="s">
        <v>94</v>
      </c>
      <c r="H98" s="17">
        <v>1</v>
      </c>
      <c r="I98" s="5">
        <v>40</v>
      </c>
      <c r="J98" s="10">
        <v>5</v>
      </c>
      <c r="K98" s="5">
        <v>45</v>
      </c>
      <c r="L98" s="5">
        <v>54.497999999999998</v>
      </c>
    </row>
    <row r="99" spans="1:12" x14ac:dyDescent="0.45">
      <c r="A99" s="1" t="s">
        <v>25</v>
      </c>
      <c r="B99" s="1">
        <v>2018</v>
      </c>
      <c r="C99" s="2">
        <v>43393</v>
      </c>
      <c r="D99" s="1" t="s">
        <v>10</v>
      </c>
      <c r="E99" s="5" t="s">
        <v>12</v>
      </c>
      <c r="F99" s="5" t="s">
        <v>13</v>
      </c>
      <c r="H99" s="17">
        <v>2</v>
      </c>
      <c r="I99" s="5">
        <v>40</v>
      </c>
      <c r="J99" s="10">
        <v>3</v>
      </c>
      <c r="K99" s="5">
        <v>43</v>
      </c>
      <c r="L99" s="5">
        <v>54.497999999999998</v>
      </c>
    </row>
    <row r="100" spans="1:12" x14ac:dyDescent="0.45">
      <c r="A100" s="1" t="s">
        <v>25</v>
      </c>
      <c r="B100" s="1">
        <v>2018</v>
      </c>
      <c r="C100" s="2">
        <v>43393</v>
      </c>
      <c r="D100" s="1" t="s">
        <v>10</v>
      </c>
      <c r="E100" s="5" t="s">
        <v>34</v>
      </c>
      <c r="F100" s="5" t="s">
        <v>16</v>
      </c>
      <c r="H100" s="17">
        <v>3</v>
      </c>
      <c r="I100" s="5">
        <v>40</v>
      </c>
      <c r="J100" s="10">
        <v>1</v>
      </c>
      <c r="K100" s="5">
        <v>41</v>
      </c>
      <c r="L100" s="5">
        <v>54.497999999999998</v>
      </c>
    </row>
    <row r="101" spans="1:12" x14ac:dyDescent="0.45">
      <c r="A101" s="1" t="s">
        <v>109</v>
      </c>
      <c r="B101" s="1">
        <v>2018</v>
      </c>
      <c r="C101" s="2">
        <v>43162</v>
      </c>
      <c r="D101" s="1" t="s">
        <v>10</v>
      </c>
      <c r="E101" s="5" t="s">
        <v>141</v>
      </c>
      <c r="F101" s="5" t="s">
        <v>29</v>
      </c>
      <c r="H101" s="17">
        <v>1</v>
      </c>
      <c r="I101" s="5">
        <v>20</v>
      </c>
      <c r="J101" s="10">
        <v>8</v>
      </c>
      <c r="K101" s="5">
        <v>28</v>
      </c>
      <c r="L101" s="5">
        <v>43.445999999999998</v>
      </c>
    </row>
    <row r="102" spans="1:12" x14ac:dyDescent="0.45">
      <c r="A102" s="1" t="s">
        <v>109</v>
      </c>
      <c r="B102" s="1">
        <v>2018</v>
      </c>
      <c r="C102" s="2">
        <v>43162</v>
      </c>
      <c r="D102" s="1" t="s">
        <v>10</v>
      </c>
      <c r="E102" s="5" t="s">
        <v>142</v>
      </c>
      <c r="F102" s="5" t="s">
        <v>128</v>
      </c>
      <c r="H102" s="17">
        <v>2</v>
      </c>
      <c r="I102" s="5">
        <v>20</v>
      </c>
      <c r="J102" s="10">
        <v>5</v>
      </c>
      <c r="K102" s="5">
        <v>25</v>
      </c>
      <c r="L102" s="5">
        <v>43.445999999999998</v>
      </c>
    </row>
    <row r="103" spans="1:12" x14ac:dyDescent="0.45">
      <c r="A103" s="1" t="s">
        <v>109</v>
      </c>
      <c r="B103" s="1">
        <v>2018</v>
      </c>
      <c r="C103" s="2">
        <v>43162</v>
      </c>
      <c r="D103" s="1" t="s">
        <v>10</v>
      </c>
      <c r="E103" s="5" t="s">
        <v>39</v>
      </c>
      <c r="F103" s="5" t="s">
        <v>40</v>
      </c>
      <c r="H103" s="17">
        <v>3</v>
      </c>
      <c r="I103" s="5">
        <v>20</v>
      </c>
      <c r="J103" s="10">
        <v>5</v>
      </c>
      <c r="K103" s="5">
        <v>25</v>
      </c>
      <c r="L103" s="5">
        <v>43.445999999999998</v>
      </c>
    </row>
    <row r="104" spans="1:12" x14ac:dyDescent="0.45">
      <c r="A104" s="1" t="s">
        <v>77</v>
      </c>
      <c r="B104" s="1">
        <v>2018</v>
      </c>
      <c r="C104" s="2">
        <v>43119</v>
      </c>
      <c r="D104" s="1" t="s">
        <v>10</v>
      </c>
      <c r="E104" s="5" t="s">
        <v>36</v>
      </c>
      <c r="F104" s="5" t="s">
        <v>15</v>
      </c>
      <c r="H104" s="17">
        <v>1</v>
      </c>
      <c r="I104" s="5">
        <v>20</v>
      </c>
      <c r="J104" s="10">
        <v>6</v>
      </c>
      <c r="K104" s="5">
        <v>26</v>
      </c>
      <c r="L104" s="5">
        <v>53.319000000000003</v>
      </c>
    </row>
    <row r="105" spans="1:12" x14ac:dyDescent="0.45">
      <c r="A105" s="1" t="s">
        <v>77</v>
      </c>
      <c r="B105" s="1">
        <v>2018</v>
      </c>
      <c r="C105" s="2">
        <v>43119</v>
      </c>
      <c r="D105" s="1" t="s">
        <v>10</v>
      </c>
      <c r="E105" s="5" t="s">
        <v>142</v>
      </c>
      <c r="F105" s="5" t="s">
        <v>128</v>
      </c>
      <c r="H105" s="17">
        <v>2</v>
      </c>
      <c r="I105" s="5">
        <v>20</v>
      </c>
      <c r="J105" s="10">
        <v>3</v>
      </c>
      <c r="K105" s="5">
        <v>23</v>
      </c>
      <c r="L105" s="5">
        <v>53.319000000000003</v>
      </c>
    </row>
    <row r="106" spans="1:12" x14ac:dyDescent="0.45">
      <c r="A106" s="1" t="s">
        <v>77</v>
      </c>
      <c r="B106" s="1">
        <v>2018</v>
      </c>
      <c r="C106" s="2">
        <v>43119</v>
      </c>
      <c r="D106" s="1" t="s">
        <v>10</v>
      </c>
      <c r="E106" s="5" t="s">
        <v>143</v>
      </c>
      <c r="F106" s="5" t="s">
        <v>29</v>
      </c>
      <c r="H106" s="17">
        <v>3</v>
      </c>
      <c r="I106" s="5">
        <v>20</v>
      </c>
      <c r="J106" s="10">
        <v>1</v>
      </c>
      <c r="K106" s="5">
        <v>21</v>
      </c>
      <c r="L106" s="5">
        <v>53.319000000000003</v>
      </c>
    </row>
    <row r="107" spans="1:12" x14ac:dyDescent="0.45">
      <c r="A107" s="1" t="s">
        <v>146</v>
      </c>
      <c r="B107" s="1">
        <v>2017</v>
      </c>
      <c r="C107" s="2">
        <v>43077</v>
      </c>
      <c r="D107" s="1" t="s">
        <v>10</v>
      </c>
      <c r="E107" s="5" t="s">
        <v>148</v>
      </c>
      <c r="F107" s="5" t="s">
        <v>98</v>
      </c>
      <c r="H107" s="17">
        <v>1</v>
      </c>
      <c r="I107" s="5">
        <v>20</v>
      </c>
      <c r="J107" s="17">
        <v>12</v>
      </c>
      <c r="K107" s="5">
        <v>32</v>
      </c>
      <c r="L107" s="5">
        <v>52.246000000000002</v>
      </c>
    </row>
    <row r="108" spans="1:12" x14ac:dyDescent="0.45">
      <c r="A108" s="1" t="s">
        <v>146</v>
      </c>
      <c r="B108" s="1">
        <v>2017</v>
      </c>
      <c r="C108" s="2">
        <v>43077</v>
      </c>
      <c r="D108" s="1" t="s">
        <v>10</v>
      </c>
      <c r="E108" s="5" t="s">
        <v>41</v>
      </c>
      <c r="F108" s="5" t="s">
        <v>43</v>
      </c>
      <c r="H108" s="17">
        <v>2</v>
      </c>
      <c r="I108" s="5">
        <v>20</v>
      </c>
      <c r="J108" s="17">
        <v>8</v>
      </c>
      <c r="K108" s="5">
        <v>28</v>
      </c>
      <c r="L108" s="5">
        <v>52.246000000000002</v>
      </c>
    </row>
    <row r="109" spans="1:12" x14ac:dyDescent="0.45">
      <c r="A109" s="1" t="s">
        <v>146</v>
      </c>
      <c r="B109" s="1">
        <v>2017</v>
      </c>
      <c r="C109" s="2">
        <v>43077</v>
      </c>
      <c r="D109" s="1" t="s">
        <v>10</v>
      </c>
      <c r="E109" s="5" t="s">
        <v>149</v>
      </c>
      <c r="F109" s="5" t="s">
        <v>150</v>
      </c>
      <c r="H109" s="17">
        <v>3</v>
      </c>
      <c r="I109" s="5">
        <v>0</v>
      </c>
      <c r="J109" s="17">
        <v>8</v>
      </c>
      <c r="K109" s="5">
        <v>8</v>
      </c>
      <c r="L109" s="5">
        <v>52.246000000000002</v>
      </c>
    </row>
    <row r="110" spans="1:12" x14ac:dyDescent="0.45">
      <c r="A110" s="1" t="s">
        <v>33</v>
      </c>
      <c r="B110" s="1">
        <v>2017</v>
      </c>
      <c r="C110" s="2">
        <v>43070</v>
      </c>
      <c r="D110" s="1" t="s">
        <v>10</v>
      </c>
      <c r="E110" s="5" t="s">
        <v>153</v>
      </c>
      <c r="F110" s="5" t="s">
        <v>121</v>
      </c>
      <c r="H110" s="17">
        <v>1</v>
      </c>
      <c r="I110" s="5">
        <v>20</v>
      </c>
      <c r="J110" s="17">
        <v>8</v>
      </c>
      <c r="K110" s="5">
        <v>28</v>
      </c>
      <c r="L110" s="5">
        <v>54.948</v>
      </c>
    </row>
    <row r="111" spans="1:12" x14ac:dyDescent="0.45">
      <c r="A111" s="1" t="s">
        <v>33</v>
      </c>
      <c r="B111" s="1">
        <v>2017</v>
      </c>
      <c r="C111" s="2">
        <v>43070</v>
      </c>
      <c r="D111" s="1" t="s">
        <v>10</v>
      </c>
      <c r="E111" s="5" t="s">
        <v>147</v>
      </c>
      <c r="F111" s="5" t="s">
        <v>61</v>
      </c>
      <c r="H111" s="17">
        <v>2</v>
      </c>
      <c r="I111" s="5">
        <v>20</v>
      </c>
      <c r="J111" s="17">
        <v>8</v>
      </c>
      <c r="K111" s="5">
        <v>28</v>
      </c>
      <c r="L111" s="5">
        <v>54.948</v>
      </c>
    </row>
    <row r="112" spans="1:12" x14ac:dyDescent="0.45">
      <c r="A112" s="1" t="s">
        <v>33</v>
      </c>
      <c r="B112" s="1">
        <v>2017</v>
      </c>
      <c r="C112" s="2">
        <v>43070</v>
      </c>
      <c r="D112" s="1" t="s">
        <v>10</v>
      </c>
      <c r="E112" s="5" t="s">
        <v>45</v>
      </c>
      <c r="F112" s="5" t="s">
        <v>46</v>
      </c>
      <c r="H112" s="17">
        <v>3</v>
      </c>
      <c r="I112" s="5">
        <v>20</v>
      </c>
      <c r="J112" s="17">
        <v>5</v>
      </c>
      <c r="K112" s="5">
        <v>25</v>
      </c>
      <c r="L112" s="5">
        <v>54.948</v>
      </c>
    </row>
    <row r="113" spans="1:12" x14ac:dyDescent="0.45">
      <c r="A113" s="1" t="s">
        <v>154</v>
      </c>
      <c r="B113" s="1">
        <v>2017</v>
      </c>
      <c r="C113" s="2">
        <v>43049</v>
      </c>
      <c r="D113" s="1" t="s">
        <v>10</v>
      </c>
      <c r="E113" s="5" t="s">
        <v>51</v>
      </c>
      <c r="F113" s="5" t="s">
        <v>52</v>
      </c>
      <c r="H113" s="17">
        <v>1</v>
      </c>
      <c r="I113" s="5">
        <v>20</v>
      </c>
      <c r="J113" s="17">
        <v>6</v>
      </c>
      <c r="K113" s="5">
        <v>26</v>
      </c>
      <c r="L113" s="5">
        <v>54.533000000000001</v>
      </c>
    </row>
    <row r="114" spans="1:12" x14ac:dyDescent="0.45">
      <c r="A114" s="1" t="s">
        <v>154</v>
      </c>
      <c r="B114" s="1">
        <v>2017</v>
      </c>
      <c r="C114" s="2">
        <v>43049</v>
      </c>
      <c r="D114" s="1" t="s">
        <v>10</v>
      </c>
      <c r="E114" s="5" t="s">
        <v>23</v>
      </c>
      <c r="F114" s="5" t="s">
        <v>24</v>
      </c>
      <c r="H114" s="17">
        <v>2</v>
      </c>
      <c r="I114" s="5">
        <v>20</v>
      </c>
      <c r="J114" s="17">
        <v>5</v>
      </c>
      <c r="K114" s="5">
        <v>25</v>
      </c>
      <c r="L114" s="5">
        <v>54.533000000000001</v>
      </c>
    </row>
    <row r="115" spans="1:12" x14ac:dyDescent="0.45">
      <c r="A115" s="1" t="s">
        <v>154</v>
      </c>
      <c r="B115" s="1">
        <v>2017</v>
      </c>
      <c r="C115" s="2">
        <v>43049</v>
      </c>
      <c r="D115" s="1" t="s">
        <v>10</v>
      </c>
      <c r="E115" s="5" t="s">
        <v>22</v>
      </c>
      <c r="F115" s="5" t="s">
        <v>16</v>
      </c>
      <c r="H115" s="17">
        <v>3</v>
      </c>
      <c r="I115" s="5">
        <v>20</v>
      </c>
      <c r="J115" s="17">
        <v>0</v>
      </c>
      <c r="K115" s="5">
        <v>20</v>
      </c>
      <c r="L115" s="5">
        <v>54.533000000000001</v>
      </c>
    </row>
    <row r="116" spans="1:12" x14ac:dyDescent="0.45">
      <c r="A116" s="1" t="s">
        <v>78</v>
      </c>
      <c r="B116" s="1">
        <v>2017</v>
      </c>
      <c r="C116" s="2">
        <v>43042</v>
      </c>
      <c r="D116" s="1" t="s">
        <v>10</v>
      </c>
      <c r="E116" s="5" t="s">
        <v>142</v>
      </c>
      <c r="F116" s="5" t="s">
        <v>128</v>
      </c>
      <c r="H116" s="17">
        <v>1</v>
      </c>
      <c r="I116" s="5">
        <v>20</v>
      </c>
      <c r="J116" s="17">
        <v>8</v>
      </c>
      <c r="K116">
        <f>J116+I116</f>
        <v>28</v>
      </c>
      <c r="L116" s="5">
        <v>53.738999999999997</v>
      </c>
    </row>
    <row r="117" spans="1:12" x14ac:dyDescent="0.45">
      <c r="A117" s="1" t="s">
        <v>78</v>
      </c>
      <c r="B117" s="1">
        <v>2017</v>
      </c>
      <c r="C117" s="2">
        <v>43042</v>
      </c>
      <c r="D117" s="1" t="s">
        <v>10</v>
      </c>
      <c r="E117" s="5" t="s">
        <v>23</v>
      </c>
      <c r="F117" s="5" t="s">
        <v>24</v>
      </c>
      <c r="H117" s="17">
        <v>2</v>
      </c>
      <c r="I117" s="5">
        <v>20</v>
      </c>
      <c r="J117" s="17">
        <v>4</v>
      </c>
      <c r="K117">
        <f t="shared" ref="K117:K127" si="1">J117+I117</f>
        <v>24</v>
      </c>
      <c r="L117" s="5">
        <v>53.738999999999997</v>
      </c>
    </row>
    <row r="118" spans="1:12" x14ac:dyDescent="0.45">
      <c r="A118" s="1" t="s">
        <v>78</v>
      </c>
      <c r="B118" s="1">
        <v>2017</v>
      </c>
      <c r="C118" s="2">
        <v>43042</v>
      </c>
      <c r="D118" s="1" t="s">
        <v>10</v>
      </c>
      <c r="E118" s="5" t="s">
        <v>90</v>
      </c>
      <c r="F118" s="5" t="s">
        <v>91</v>
      </c>
      <c r="H118" s="17">
        <v>3</v>
      </c>
      <c r="I118" s="5">
        <v>20</v>
      </c>
      <c r="J118" s="17">
        <v>2</v>
      </c>
      <c r="K118">
        <f t="shared" si="1"/>
        <v>22</v>
      </c>
      <c r="L118" s="5">
        <v>53.738999999999997</v>
      </c>
    </row>
    <row r="119" spans="1:12" x14ac:dyDescent="0.45">
      <c r="A119" s="1" t="s">
        <v>37</v>
      </c>
      <c r="B119" s="1">
        <v>2017</v>
      </c>
      <c r="C119" s="2">
        <v>42867</v>
      </c>
      <c r="D119" s="1" t="s">
        <v>18</v>
      </c>
      <c r="E119" s="5" t="s">
        <v>38</v>
      </c>
      <c r="F119" s="5" t="s">
        <v>40</v>
      </c>
      <c r="H119" s="17">
        <v>1</v>
      </c>
      <c r="I119" s="5">
        <v>40</v>
      </c>
      <c r="J119" s="17">
        <v>3</v>
      </c>
      <c r="K119">
        <f t="shared" si="1"/>
        <v>43</v>
      </c>
      <c r="L119" s="5">
        <v>54.98</v>
      </c>
    </row>
    <row r="120" spans="1:12" x14ac:dyDescent="0.45">
      <c r="A120" s="1" t="s">
        <v>37</v>
      </c>
      <c r="B120" s="1">
        <v>2017</v>
      </c>
      <c r="C120" s="2">
        <v>42867</v>
      </c>
      <c r="D120" s="1" t="s">
        <v>18</v>
      </c>
      <c r="E120" s="5" t="s">
        <v>12</v>
      </c>
      <c r="F120" s="5" t="s">
        <v>13</v>
      </c>
      <c r="H120" s="17">
        <v>2</v>
      </c>
      <c r="I120" s="5">
        <v>40</v>
      </c>
      <c r="J120" s="17">
        <v>0</v>
      </c>
      <c r="K120">
        <f t="shared" si="1"/>
        <v>40</v>
      </c>
      <c r="L120" s="5">
        <v>54.98</v>
      </c>
    </row>
    <row r="121" spans="1:12" x14ac:dyDescent="0.45">
      <c r="A121" s="1" t="s">
        <v>37</v>
      </c>
      <c r="B121" s="1">
        <v>2017</v>
      </c>
      <c r="C121" s="2">
        <v>42867</v>
      </c>
      <c r="D121" s="1" t="s">
        <v>18</v>
      </c>
      <c r="E121" s="5" t="s">
        <v>142</v>
      </c>
      <c r="F121" s="5" t="s">
        <v>128</v>
      </c>
      <c r="H121" s="17">
        <v>3</v>
      </c>
      <c r="I121" s="5">
        <v>20</v>
      </c>
      <c r="J121" s="17">
        <v>5</v>
      </c>
      <c r="K121">
        <f t="shared" si="1"/>
        <v>25</v>
      </c>
      <c r="L121" s="5">
        <v>54.98</v>
      </c>
    </row>
    <row r="122" spans="1:12" x14ac:dyDescent="0.45">
      <c r="A122" s="1" t="s">
        <v>155</v>
      </c>
      <c r="B122" s="1">
        <v>2017</v>
      </c>
      <c r="C122" s="2">
        <v>42790</v>
      </c>
      <c r="D122" s="1" t="s">
        <v>10</v>
      </c>
      <c r="E122" s="5" t="s">
        <v>142</v>
      </c>
      <c r="F122" s="5" t="s">
        <v>128</v>
      </c>
      <c r="H122" s="17">
        <v>1</v>
      </c>
      <c r="I122" s="5">
        <v>20</v>
      </c>
      <c r="J122" s="17">
        <v>12</v>
      </c>
      <c r="K122">
        <f t="shared" si="1"/>
        <v>32</v>
      </c>
      <c r="L122" s="5">
        <v>52.53</v>
      </c>
    </row>
    <row r="123" spans="1:12" x14ac:dyDescent="0.45">
      <c r="A123" s="1" t="s">
        <v>155</v>
      </c>
      <c r="B123" s="1">
        <v>2017</v>
      </c>
      <c r="C123" s="2">
        <v>42790</v>
      </c>
      <c r="D123" s="1" t="s">
        <v>10</v>
      </c>
      <c r="E123" s="5" t="s">
        <v>90</v>
      </c>
      <c r="F123" s="5" t="s">
        <v>91</v>
      </c>
      <c r="H123" s="17">
        <v>2</v>
      </c>
      <c r="I123" s="5">
        <v>20</v>
      </c>
      <c r="J123" s="17">
        <v>10</v>
      </c>
      <c r="K123">
        <f t="shared" si="1"/>
        <v>30</v>
      </c>
      <c r="L123" s="5">
        <v>52.53</v>
      </c>
    </row>
    <row r="124" spans="1:12" x14ac:dyDescent="0.45">
      <c r="A124" s="1" t="s">
        <v>155</v>
      </c>
      <c r="B124" s="1">
        <v>2017</v>
      </c>
      <c r="C124" s="2">
        <v>42790</v>
      </c>
      <c r="D124" s="1" t="s">
        <v>10</v>
      </c>
      <c r="E124" s="5" t="s">
        <v>158</v>
      </c>
      <c r="F124" s="5" t="s">
        <v>24</v>
      </c>
      <c r="H124" s="17">
        <v>3</v>
      </c>
      <c r="I124" s="5">
        <v>20</v>
      </c>
      <c r="J124" s="17">
        <v>5</v>
      </c>
      <c r="K124">
        <f t="shared" si="1"/>
        <v>25</v>
      </c>
      <c r="L124" s="5">
        <v>52.53</v>
      </c>
    </row>
    <row r="125" spans="1:12" x14ac:dyDescent="0.45">
      <c r="A125" s="1" t="s">
        <v>58</v>
      </c>
      <c r="B125" s="1">
        <v>2017</v>
      </c>
      <c r="C125" s="2">
        <v>42783</v>
      </c>
      <c r="D125" s="1" t="s">
        <v>10</v>
      </c>
      <c r="E125" s="5" t="s">
        <v>22</v>
      </c>
      <c r="F125" s="5" t="s">
        <v>16</v>
      </c>
      <c r="H125" s="17">
        <v>1</v>
      </c>
      <c r="I125" s="5">
        <v>20</v>
      </c>
      <c r="J125" s="17">
        <v>6</v>
      </c>
      <c r="K125">
        <f t="shared" si="1"/>
        <v>26</v>
      </c>
      <c r="L125" s="5">
        <v>52.033999999999999</v>
      </c>
    </row>
    <row r="126" spans="1:12" x14ac:dyDescent="0.45">
      <c r="A126" s="1" t="s">
        <v>58</v>
      </c>
      <c r="B126" s="1">
        <v>2017</v>
      </c>
      <c r="C126" s="2">
        <v>42783</v>
      </c>
      <c r="D126" s="1" t="s">
        <v>10</v>
      </c>
      <c r="E126" s="5" t="s">
        <v>159</v>
      </c>
      <c r="F126" s="5" t="s">
        <v>13</v>
      </c>
      <c r="H126" s="17">
        <v>2</v>
      </c>
      <c r="I126" s="5">
        <v>0</v>
      </c>
      <c r="J126" s="17">
        <v>7</v>
      </c>
      <c r="K126">
        <f t="shared" si="1"/>
        <v>7</v>
      </c>
      <c r="L126" s="5">
        <v>52.033999999999999</v>
      </c>
    </row>
    <row r="127" spans="1:12" x14ac:dyDescent="0.45">
      <c r="A127" s="1" t="s">
        <v>58</v>
      </c>
      <c r="B127" s="1">
        <v>2017</v>
      </c>
      <c r="C127" s="2">
        <v>42783</v>
      </c>
      <c r="D127" s="1" t="s">
        <v>10</v>
      </c>
      <c r="E127" s="5" t="s">
        <v>153</v>
      </c>
      <c r="F127" s="5" t="s">
        <v>121</v>
      </c>
      <c r="H127" s="17">
        <v>3</v>
      </c>
      <c r="I127" s="5">
        <v>0</v>
      </c>
      <c r="J127" s="17">
        <v>4</v>
      </c>
      <c r="K127">
        <f t="shared" si="1"/>
        <v>4</v>
      </c>
      <c r="L127" s="5">
        <v>52.033999999999999</v>
      </c>
    </row>
  </sheetData>
  <conditionalFormatting sqref="A44:B52 D44:D52">
    <cfRule type="expression" dxfId="68" priority="19">
      <formula>$E44="F"</formula>
    </cfRule>
    <cfRule type="expression" dxfId="67" priority="20">
      <formula>$E44="Q"</formula>
    </cfRule>
  </conditionalFormatting>
  <conditionalFormatting sqref="A53:B55">
    <cfRule type="expression" dxfId="66" priority="13">
      <formula>#REF!="F"</formula>
    </cfRule>
    <cfRule type="expression" dxfId="65" priority="14">
      <formula>#REF!="Q"</formula>
    </cfRule>
  </conditionalFormatting>
  <conditionalFormatting sqref="A94:B94">
    <cfRule type="expression" dxfId="64" priority="6">
      <formula>$E94="F"</formula>
    </cfRule>
    <cfRule type="expression" dxfId="63" priority="7">
      <formula>$E94="Q"</formula>
    </cfRule>
  </conditionalFormatting>
  <conditionalFormatting sqref="A41:D43">
    <cfRule type="expression" dxfId="62" priority="27">
      <formula>$E41="F"</formula>
    </cfRule>
    <cfRule type="expression" dxfId="61" priority="28">
      <formula>$E41="Q"</formula>
    </cfRule>
  </conditionalFormatting>
  <conditionalFormatting sqref="A62:D64">
    <cfRule type="expression" dxfId="60" priority="10">
      <formula>$E62="R1"</formula>
    </cfRule>
    <cfRule type="expression" dxfId="59" priority="11">
      <formula>$E62="F"</formula>
    </cfRule>
    <cfRule type="expression" dxfId="58" priority="12">
      <formula>$E62="Q"</formula>
    </cfRule>
  </conditionalFormatting>
  <conditionalFormatting sqref="A90:D93 D93:D94">
    <cfRule type="expression" dxfId="57" priority="9">
      <formula>$E90="Q"</formula>
    </cfRule>
  </conditionalFormatting>
  <conditionalFormatting sqref="D53:D55">
    <cfRule type="expression" dxfId="56" priority="17">
      <formula>#REF!="F"</formula>
    </cfRule>
    <cfRule type="expression" dxfId="55" priority="18">
      <formula>#REF!="Q"</formula>
    </cfRule>
  </conditionalFormatting>
  <conditionalFormatting sqref="D93:D94 A90:D93">
    <cfRule type="expression" dxfId="54" priority="8">
      <formula>$E90="F"</formula>
    </cfRule>
  </conditionalFormatting>
  <conditionalFormatting sqref="D94">
    <cfRule type="expression" dxfId="53" priority="4">
      <formula>$E94="F"</formula>
    </cfRule>
    <cfRule type="expression" dxfId="52" priority="5">
      <formula>$E94="Q"</formula>
    </cfRule>
  </conditionalFormatting>
  <conditionalFormatting sqref="G5:G94">
    <cfRule type="expression" dxfId="51" priority="29">
      <formula>$E5="R1"</formula>
    </cfRule>
    <cfRule type="expression" dxfId="50" priority="30">
      <formula>$E5="F"</formula>
    </cfRule>
    <cfRule type="expression" dxfId="49" priority="31">
      <formula>$E5="Q"</formula>
    </cfRule>
  </conditionalFormatting>
  <conditionalFormatting sqref="G2:G4">
    <cfRule type="expression" dxfId="48" priority="1">
      <formula>$E2="R1"</formula>
    </cfRule>
    <cfRule type="expression" dxfId="47" priority="2">
      <formula>$E2="F"</formula>
    </cfRule>
    <cfRule type="expression" dxfId="46" priority="3">
      <formula>$E2="Q"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76BF-2954-4B1F-9231-6DE94A4252BF}">
  <dimension ref="A1:H43"/>
  <sheetViews>
    <sheetView tabSelected="1" workbookViewId="0">
      <selection activeCell="H7" sqref="H7"/>
    </sheetView>
  </sheetViews>
  <sheetFormatPr defaultRowHeight="14.25" x14ac:dyDescent="0.45"/>
  <sheetData>
    <row r="1" spans="1:8" x14ac:dyDescent="0.45">
      <c r="A1" s="6" t="s">
        <v>0</v>
      </c>
      <c r="B1" s="6" t="s">
        <v>1</v>
      </c>
      <c r="C1" s="6" t="s">
        <v>2</v>
      </c>
      <c r="D1" s="6" t="s">
        <v>3</v>
      </c>
      <c r="E1" t="s">
        <v>81</v>
      </c>
      <c r="F1" t="s">
        <v>4</v>
      </c>
      <c r="G1" t="s">
        <v>82</v>
      </c>
      <c r="H1" t="s">
        <v>8</v>
      </c>
    </row>
    <row r="2" spans="1:8" x14ac:dyDescent="0.45">
      <c r="A2" s="13" t="s">
        <v>146</v>
      </c>
      <c r="B2" s="14">
        <v>2025</v>
      </c>
      <c r="C2" s="7">
        <v>45952</v>
      </c>
      <c r="D2" s="15" t="s">
        <v>18</v>
      </c>
      <c r="E2" s="6" t="s">
        <v>22</v>
      </c>
      <c r="F2" s="6" t="s">
        <v>16</v>
      </c>
      <c r="G2" s="3">
        <v>30.419178082191781</v>
      </c>
      <c r="H2">
        <v>56.484999999999999</v>
      </c>
    </row>
    <row r="3" spans="1:8" x14ac:dyDescent="0.45">
      <c r="A3" s="12" t="s">
        <v>9</v>
      </c>
      <c r="B3" s="12">
        <v>2025</v>
      </c>
      <c r="C3" s="7">
        <v>45730</v>
      </c>
      <c r="D3" s="12" t="s">
        <v>10</v>
      </c>
      <c r="E3" s="6" t="s">
        <v>39</v>
      </c>
      <c r="F3" s="6" t="s">
        <v>40</v>
      </c>
      <c r="G3" s="3">
        <v>26.857534246575341</v>
      </c>
      <c r="H3">
        <v>54.505000000000003</v>
      </c>
    </row>
    <row r="4" spans="1:8" x14ac:dyDescent="0.45">
      <c r="A4" s="6" t="s">
        <v>17</v>
      </c>
      <c r="B4" s="6">
        <v>2024</v>
      </c>
      <c r="C4" s="7">
        <v>45584</v>
      </c>
      <c r="D4" s="6" t="s">
        <v>18</v>
      </c>
      <c r="E4" s="6" t="s">
        <v>57</v>
      </c>
      <c r="F4" s="6" t="s">
        <v>46</v>
      </c>
      <c r="G4" s="3">
        <v>26.104109589041094</v>
      </c>
      <c r="H4">
        <v>54.506999999999998</v>
      </c>
    </row>
    <row r="5" spans="1:8" x14ac:dyDescent="0.45">
      <c r="A5" s="12" t="s">
        <v>25</v>
      </c>
      <c r="B5" s="12">
        <v>2024</v>
      </c>
      <c r="C5" s="7">
        <v>45512</v>
      </c>
      <c r="D5" s="12" t="s">
        <v>26</v>
      </c>
      <c r="E5" s="6" t="s">
        <v>57</v>
      </c>
      <c r="F5" s="6" t="s">
        <v>46</v>
      </c>
      <c r="G5" s="3">
        <v>25.906849315068492</v>
      </c>
      <c r="H5">
        <v>55.332000000000001</v>
      </c>
    </row>
    <row r="6" spans="1:8" x14ac:dyDescent="0.45">
      <c r="A6" s="6" t="s">
        <v>33</v>
      </c>
      <c r="B6" s="6">
        <v>2024</v>
      </c>
      <c r="C6" s="7">
        <v>45395</v>
      </c>
      <c r="D6" s="6" t="s">
        <v>10</v>
      </c>
      <c r="E6" s="6" t="s">
        <v>57</v>
      </c>
      <c r="F6" s="6" t="s">
        <v>46</v>
      </c>
      <c r="G6" s="3">
        <v>25.586301369863012</v>
      </c>
      <c r="H6">
        <v>54.707999999999998</v>
      </c>
    </row>
    <row r="7" spans="1:8" x14ac:dyDescent="0.45">
      <c r="A7" s="12" t="s">
        <v>37</v>
      </c>
      <c r="B7" s="12">
        <v>2024</v>
      </c>
      <c r="C7" s="7">
        <v>45368</v>
      </c>
      <c r="D7" s="8" t="s">
        <v>10</v>
      </c>
      <c r="E7" t="s">
        <v>27</v>
      </c>
      <c r="F7" t="s">
        <v>29</v>
      </c>
      <c r="G7" s="3">
        <v>25.723287671232878</v>
      </c>
      <c r="H7">
        <v>53.674999999999997</v>
      </c>
    </row>
    <row r="8" spans="1:8" x14ac:dyDescent="0.45">
      <c r="A8" s="12" t="s">
        <v>44</v>
      </c>
      <c r="B8" s="12">
        <v>2024</v>
      </c>
      <c r="C8" s="7">
        <v>45325</v>
      </c>
      <c r="D8" s="12" t="s">
        <v>10</v>
      </c>
      <c r="E8" s="6" t="s">
        <v>38</v>
      </c>
      <c r="F8" s="6" t="s">
        <v>40</v>
      </c>
      <c r="G8" s="3">
        <v>33.210958904109589</v>
      </c>
      <c r="H8">
        <v>54.191000000000003</v>
      </c>
    </row>
    <row r="9" spans="1:8" x14ac:dyDescent="0.45">
      <c r="A9" s="13" t="s">
        <v>47</v>
      </c>
      <c r="B9" s="14">
        <v>2023</v>
      </c>
      <c r="C9" s="7">
        <v>45144</v>
      </c>
      <c r="D9" s="15" t="s">
        <v>18</v>
      </c>
      <c r="E9" s="6" t="s">
        <v>39</v>
      </c>
      <c r="F9" s="6" t="s">
        <v>40</v>
      </c>
      <c r="G9" s="3">
        <v>25.252054794520546</v>
      </c>
      <c r="H9">
        <v>49.362000000000002</v>
      </c>
    </row>
    <row r="10" spans="1:8" x14ac:dyDescent="0.45">
      <c r="A10" s="6" t="s">
        <v>33</v>
      </c>
      <c r="B10" s="6">
        <v>2023</v>
      </c>
      <c r="C10" s="7">
        <v>45038</v>
      </c>
      <c r="D10" s="6" t="s">
        <v>10</v>
      </c>
      <c r="E10" s="6" t="s">
        <v>56</v>
      </c>
      <c r="F10" s="6" t="s">
        <v>52</v>
      </c>
      <c r="G10" s="3">
        <v>22.583561643835615</v>
      </c>
      <c r="H10">
        <v>54.29</v>
      </c>
    </row>
    <row r="11" spans="1:8" x14ac:dyDescent="0.45">
      <c r="A11" s="12" t="s">
        <v>53</v>
      </c>
      <c r="B11" s="12">
        <v>2023</v>
      </c>
      <c r="C11" s="16">
        <v>45001</v>
      </c>
      <c r="D11" s="12" t="s">
        <v>10</v>
      </c>
      <c r="E11" s="6" t="s">
        <v>50</v>
      </c>
      <c r="F11" s="6" t="s">
        <v>52</v>
      </c>
      <c r="G11" s="3">
        <v>29.073972602739726</v>
      </c>
      <c r="H11">
        <v>49.741</v>
      </c>
    </row>
    <row r="12" spans="1:8" x14ac:dyDescent="0.45">
      <c r="A12" s="12" t="s">
        <v>55</v>
      </c>
      <c r="B12" s="12">
        <v>2023</v>
      </c>
      <c r="C12" s="16">
        <v>44982</v>
      </c>
      <c r="D12" s="12" t="s">
        <v>10</v>
      </c>
      <c r="E12" s="12" t="s">
        <v>39</v>
      </c>
      <c r="F12" s="12" t="s">
        <v>40</v>
      </c>
      <c r="G12" s="3">
        <v>24.80821917808219</v>
      </c>
      <c r="H12">
        <v>51.872999999999998</v>
      </c>
    </row>
    <row r="13" spans="1:8" x14ac:dyDescent="0.45">
      <c r="A13" s="8" t="s">
        <v>25</v>
      </c>
      <c r="B13" s="8">
        <v>2022</v>
      </c>
      <c r="C13" s="9">
        <v>44849</v>
      </c>
      <c r="D13" s="8" t="s">
        <v>18</v>
      </c>
      <c r="E13" s="8" t="s">
        <v>51</v>
      </c>
      <c r="F13" s="8" t="s">
        <v>52</v>
      </c>
      <c r="G13" s="3">
        <v>27.109589041095891</v>
      </c>
    </row>
    <row r="14" spans="1:8" x14ac:dyDescent="0.45">
      <c r="A14" s="12" t="s">
        <v>58</v>
      </c>
      <c r="B14" s="12">
        <v>2022</v>
      </c>
      <c r="C14" s="16">
        <v>44752</v>
      </c>
      <c r="D14" s="12" t="s">
        <v>10</v>
      </c>
      <c r="E14" s="12" t="s">
        <v>126</v>
      </c>
      <c r="F14" s="12" t="s">
        <v>32</v>
      </c>
      <c r="G14" s="3">
        <v>24.290410958904111</v>
      </c>
      <c r="H14">
        <v>49.460999999999999</v>
      </c>
    </row>
    <row r="15" spans="1:8" x14ac:dyDescent="0.45">
      <c r="A15" s="8" t="s">
        <v>33</v>
      </c>
      <c r="B15" s="8">
        <v>2022</v>
      </c>
      <c r="C15" s="9">
        <v>44696</v>
      </c>
      <c r="D15" s="8" t="s">
        <v>10</v>
      </c>
      <c r="E15" s="8" t="s">
        <v>57</v>
      </c>
      <c r="F15" s="8" t="s">
        <v>46</v>
      </c>
      <c r="G15" s="3">
        <v>23.671232876712327</v>
      </c>
      <c r="H15">
        <v>53.947000000000003</v>
      </c>
    </row>
    <row r="16" spans="1:8" x14ac:dyDescent="0.45">
      <c r="A16" s="12" t="s">
        <v>47</v>
      </c>
      <c r="B16" s="12">
        <v>2022</v>
      </c>
      <c r="C16" s="16">
        <v>44675</v>
      </c>
      <c r="D16" s="12" t="s">
        <v>10</v>
      </c>
      <c r="E16" s="12" t="s">
        <v>31</v>
      </c>
      <c r="F16" s="12" t="s">
        <v>32</v>
      </c>
      <c r="G16" s="3">
        <v>33.230136986301368</v>
      </c>
      <c r="H16">
        <v>46.738999999999997</v>
      </c>
    </row>
    <row r="17" spans="1:8" x14ac:dyDescent="0.45">
      <c r="A17" s="8" t="s">
        <v>66</v>
      </c>
      <c r="B17" s="8">
        <v>2021</v>
      </c>
      <c r="C17" s="9">
        <v>44492</v>
      </c>
      <c r="D17" s="8" t="s">
        <v>18</v>
      </c>
      <c r="E17" s="6" t="s">
        <v>38</v>
      </c>
      <c r="F17" s="6" t="s">
        <v>40</v>
      </c>
      <c r="G17" s="3">
        <v>30.92876712328767</v>
      </c>
      <c r="H17">
        <v>53.67</v>
      </c>
    </row>
    <row r="18" spans="1:8" x14ac:dyDescent="0.45">
      <c r="A18" s="12" t="s">
        <v>58</v>
      </c>
      <c r="B18" s="12">
        <v>2021</v>
      </c>
      <c r="C18" s="16">
        <v>44451</v>
      </c>
      <c r="D18" s="12" t="s">
        <v>10</v>
      </c>
      <c r="E18" s="12" t="s">
        <v>62</v>
      </c>
      <c r="F18" s="12" t="s">
        <v>63</v>
      </c>
      <c r="G18" s="3">
        <v>34.950684931506849</v>
      </c>
      <c r="H18">
        <v>51.567</v>
      </c>
    </row>
    <row r="19" spans="1:8" x14ac:dyDescent="0.45">
      <c r="A19" s="12" t="s">
        <v>68</v>
      </c>
      <c r="B19" s="12">
        <v>2021</v>
      </c>
      <c r="C19" s="7">
        <v>44413</v>
      </c>
      <c r="D19" s="12" t="s">
        <v>26</v>
      </c>
      <c r="E19" s="6" t="s">
        <v>31</v>
      </c>
      <c r="F19" s="6" t="s">
        <v>32</v>
      </c>
      <c r="G19" s="3">
        <v>32.512328767123286</v>
      </c>
      <c r="H19">
        <v>55.226999999999997</v>
      </c>
    </row>
    <row r="20" spans="1:8" x14ac:dyDescent="0.45">
      <c r="A20" s="8" t="s">
        <v>69</v>
      </c>
      <c r="B20" s="8">
        <v>2021</v>
      </c>
      <c r="C20" s="9">
        <v>44388</v>
      </c>
      <c r="D20" s="8" t="s">
        <v>10</v>
      </c>
      <c r="E20" s="8" t="s">
        <v>111</v>
      </c>
      <c r="F20" s="8" t="s">
        <v>70</v>
      </c>
      <c r="G20" s="3">
        <v>21.254794520547946</v>
      </c>
      <c r="H20">
        <v>51.57</v>
      </c>
    </row>
    <row r="21" spans="1:8" x14ac:dyDescent="0.45">
      <c r="A21" s="12" t="s">
        <v>71</v>
      </c>
      <c r="B21" s="12">
        <v>2020</v>
      </c>
      <c r="C21" s="16">
        <v>43890</v>
      </c>
      <c r="D21" s="12" t="s">
        <v>18</v>
      </c>
      <c r="E21" s="1" t="s">
        <v>39</v>
      </c>
      <c r="F21" s="1" t="s">
        <v>40</v>
      </c>
      <c r="G21" s="3">
        <v>21.816438356164383</v>
      </c>
      <c r="H21">
        <v>53.637999999999998</v>
      </c>
    </row>
    <row r="22" spans="1:8" x14ac:dyDescent="0.45">
      <c r="A22" s="17" t="s">
        <v>33</v>
      </c>
      <c r="B22" s="17">
        <v>2020</v>
      </c>
      <c r="C22" s="19">
        <v>43855</v>
      </c>
      <c r="D22" s="17" t="s">
        <v>10</v>
      </c>
      <c r="E22" s="5" t="s">
        <v>51</v>
      </c>
      <c r="F22" s="5" t="s">
        <v>52</v>
      </c>
      <c r="G22" s="3">
        <v>24.386301369863013</v>
      </c>
      <c r="H22">
        <v>51.261000000000003</v>
      </c>
    </row>
    <row r="23" spans="1:8" x14ac:dyDescent="0.45">
      <c r="A23" s="12" t="s">
        <v>72</v>
      </c>
      <c r="B23" s="12">
        <v>2019</v>
      </c>
      <c r="C23" s="16">
        <v>43813</v>
      </c>
      <c r="D23" s="12" t="s">
        <v>10</v>
      </c>
      <c r="E23" s="1" t="s">
        <v>120</v>
      </c>
      <c r="F23" s="1" t="s">
        <v>121</v>
      </c>
      <c r="G23" s="3">
        <v>29.235616438356164</v>
      </c>
      <c r="H23">
        <v>53.506</v>
      </c>
    </row>
    <row r="24" spans="1:8" x14ac:dyDescent="0.45">
      <c r="A24" s="8" t="s">
        <v>76</v>
      </c>
      <c r="B24" s="8">
        <v>2019</v>
      </c>
      <c r="C24" s="9">
        <v>43806</v>
      </c>
      <c r="D24" s="8" t="s">
        <v>10</v>
      </c>
      <c r="E24" s="5" t="s">
        <v>39</v>
      </c>
      <c r="F24" s="5" t="s">
        <v>40</v>
      </c>
      <c r="G24" s="3">
        <v>21.586301369863012</v>
      </c>
      <c r="H24">
        <v>54.646000000000001</v>
      </c>
    </row>
    <row r="25" spans="1:8" x14ac:dyDescent="0.45">
      <c r="A25" s="12" t="s">
        <v>37</v>
      </c>
      <c r="B25" s="12">
        <v>2019</v>
      </c>
      <c r="C25" s="16">
        <v>43799</v>
      </c>
      <c r="D25" s="12" t="s">
        <v>10</v>
      </c>
      <c r="E25" s="1" t="s">
        <v>39</v>
      </c>
      <c r="F25" s="1" t="s">
        <v>40</v>
      </c>
      <c r="G25" s="3">
        <v>21.567123287671233</v>
      </c>
      <c r="H25">
        <v>50.781999999999996</v>
      </c>
    </row>
    <row r="26" spans="1:8" x14ac:dyDescent="0.45">
      <c r="A26" s="17" t="s">
        <v>47</v>
      </c>
      <c r="B26" s="17">
        <v>2019</v>
      </c>
      <c r="C26" s="19">
        <v>43779</v>
      </c>
      <c r="D26" s="17" t="s">
        <v>10</v>
      </c>
      <c r="E26" s="5" t="s">
        <v>51</v>
      </c>
      <c r="F26" s="5" t="s">
        <v>52</v>
      </c>
      <c r="G26" s="3">
        <v>24.17808219178082</v>
      </c>
      <c r="H26">
        <v>53.204999999999998</v>
      </c>
    </row>
    <row r="27" spans="1:8" x14ac:dyDescent="0.45">
      <c r="A27" s="18" t="s">
        <v>77</v>
      </c>
      <c r="B27" s="18">
        <v>2019</v>
      </c>
      <c r="C27" s="11">
        <v>43771</v>
      </c>
      <c r="D27" s="18" t="s">
        <v>10</v>
      </c>
      <c r="E27" s="1" t="s">
        <v>96</v>
      </c>
      <c r="F27" s="1" t="s">
        <v>15</v>
      </c>
      <c r="G27" s="3">
        <v>25.219178082191782</v>
      </c>
      <c r="H27">
        <v>52.954999999999998</v>
      </c>
    </row>
    <row r="28" spans="1:8" x14ac:dyDescent="0.45">
      <c r="A28" s="5" t="s">
        <v>78</v>
      </c>
      <c r="B28" s="5">
        <v>2019</v>
      </c>
      <c r="C28" s="19">
        <v>43526</v>
      </c>
      <c r="D28" s="5" t="s">
        <v>18</v>
      </c>
      <c r="E28" s="5" t="s">
        <v>51</v>
      </c>
      <c r="F28" s="5" t="s">
        <v>52</v>
      </c>
      <c r="G28" s="3">
        <v>23.484931506849314</v>
      </c>
      <c r="H28">
        <v>53.99</v>
      </c>
    </row>
    <row r="29" spans="1:8" x14ac:dyDescent="0.45">
      <c r="A29" s="1" t="s">
        <v>37</v>
      </c>
      <c r="B29" s="1">
        <v>2019</v>
      </c>
      <c r="C29" s="11">
        <v>43491</v>
      </c>
      <c r="D29" s="1" t="s">
        <v>10</v>
      </c>
      <c r="E29" s="1" t="s">
        <v>39</v>
      </c>
      <c r="F29" s="1" t="s">
        <v>40</v>
      </c>
      <c r="G29" s="3">
        <v>20.723287671232878</v>
      </c>
      <c r="H29">
        <v>44.497999999999998</v>
      </c>
    </row>
    <row r="30" spans="1:8" x14ac:dyDescent="0.45">
      <c r="A30" s="8" t="s">
        <v>76</v>
      </c>
      <c r="B30" s="8">
        <v>2019</v>
      </c>
      <c r="C30" s="9">
        <v>43485</v>
      </c>
      <c r="D30" s="8" t="s">
        <v>10</v>
      </c>
      <c r="E30" s="5" t="s">
        <v>23</v>
      </c>
      <c r="F30" s="5" t="s">
        <v>24</v>
      </c>
      <c r="G30" s="3">
        <v>21.846575342465755</v>
      </c>
      <c r="H30">
        <v>52.628</v>
      </c>
    </row>
    <row r="31" spans="1:8" x14ac:dyDescent="0.45">
      <c r="A31" s="12" t="s">
        <v>95</v>
      </c>
      <c r="B31" s="12">
        <v>2018</v>
      </c>
      <c r="C31" s="16">
        <v>43450</v>
      </c>
      <c r="D31" s="12" t="s">
        <v>10</v>
      </c>
      <c r="E31" s="1" t="s">
        <v>31</v>
      </c>
      <c r="F31" s="1" t="s">
        <v>32</v>
      </c>
      <c r="G31" s="3">
        <v>29.873972602739727</v>
      </c>
      <c r="H31">
        <v>53.061999999999998</v>
      </c>
    </row>
    <row r="32" spans="1:8" x14ac:dyDescent="0.45">
      <c r="A32" s="5" t="s">
        <v>71</v>
      </c>
      <c r="B32" s="17">
        <v>2018</v>
      </c>
      <c r="C32" s="19">
        <v>43436</v>
      </c>
      <c r="D32" s="17" t="s">
        <v>10</v>
      </c>
      <c r="E32" s="5" t="s">
        <v>73</v>
      </c>
      <c r="F32" s="5" t="s">
        <v>75</v>
      </c>
      <c r="G32" s="3">
        <v>22.884931506849316</v>
      </c>
      <c r="H32">
        <v>53.203000000000003</v>
      </c>
    </row>
    <row r="33" spans="1:8" x14ac:dyDescent="0.45">
      <c r="A33" s="1" t="s">
        <v>33</v>
      </c>
      <c r="B33" s="1">
        <v>2018</v>
      </c>
      <c r="C33" s="2">
        <v>43398</v>
      </c>
      <c r="D33" s="1" t="s">
        <v>10</v>
      </c>
      <c r="E33" s="1" t="s">
        <v>39</v>
      </c>
      <c r="F33" s="1" t="s">
        <v>40</v>
      </c>
    </row>
    <row r="34" spans="1:8" x14ac:dyDescent="0.45">
      <c r="A34" s="1" t="s">
        <v>25</v>
      </c>
      <c r="B34" s="1">
        <v>2018</v>
      </c>
      <c r="C34" s="2">
        <v>43393</v>
      </c>
      <c r="D34" s="1" t="s">
        <v>10</v>
      </c>
      <c r="E34" s="5" t="s">
        <v>45</v>
      </c>
      <c r="F34" s="5" t="s">
        <v>46</v>
      </c>
      <c r="H34">
        <v>52.87</v>
      </c>
    </row>
    <row r="35" spans="1:8" x14ac:dyDescent="0.45">
      <c r="A35" s="1" t="s">
        <v>109</v>
      </c>
      <c r="B35" s="1">
        <v>2018</v>
      </c>
      <c r="C35" s="2">
        <v>43162</v>
      </c>
      <c r="D35" s="1" t="s">
        <v>10</v>
      </c>
      <c r="E35" s="1" t="s">
        <v>142</v>
      </c>
      <c r="F35" s="1" t="s">
        <v>128</v>
      </c>
      <c r="H35">
        <v>52.287999999999997</v>
      </c>
    </row>
    <row r="36" spans="1:8" x14ac:dyDescent="0.45">
      <c r="A36" s="1" t="s">
        <v>77</v>
      </c>
      <c r="B36" s="1">
        <v>2018</v>
      </c>
      <c r="C36" s="2">
        <v>43119</v>
      </c>
      <c r="D36" s="1" t="s">
        <v>10</v>
      </c>
      <c r="E36" s="1" t="s">
        <v>142</v>
      </c>
      <c r="F36" s="1" t="s">
        <v>128</v>
      </c>
      <c r="H36">
        <v>51.338000000000001</v>
      </c>
    </row>
    <row r="37" spans="1:8" x14ac:dyDescent="0.45">
      <c r="A37" s="1" t="s">
        <v>146</v>
      </c>
      <c r="B37" s="1">
        <v>2017</v>
      </c>
      <c r="C37" s="2">
        <v>43077</v>
      </c>
      <c r="D37" s="1" t="s">
        <v>10</v>
      </c>
      <c r="E37" s="1" t="s">
        <v>151</v>
      </c>
      <c r="F37" s="1" t="s">
        <v>152</v>
      </c>
      <c r="H37">
        <v>50.695</v>
      </c>
    </row>
    <row r="38" spans="1:8" x14ac:dyDescent="0.45">
      <c r="A38" s="1" t="s">
        <v>33</v>
      </c>
      <c r="B38" s="1">
        <v>2017</v>
      </c>
      <c r="C38" s="2">
        <v>43070</v>
      </c>
      <c r="D38" s="1" t="s">
        <v>10</v>
      </c>
      <c r="E38" s="1" t="s">
        <v>23</v>
      </c>
      <c r="F38" s="1" t="s">
        <v>24</v>
      </c>
      <c r="H38">
        <v>50.832000000000001</v>
      </c>
    </row>
    <row r="39" spans="1:8" x14ac:dyDescent="0.45">
      <c r="A39" s="1" t="s">
        <v>154</v>
      </c>
      <c r="B39" s="1">
        <v>2017</v>
      </c>
      <c r="C39" s="2">
        <v>43049</v>
      </c>
      <c r="D39" s="1" t="s">
        <v>10</v>
      </c>
      <c r="E39" s="1" t="s">
        <v>23</v>
      </c>
      <c r="F39" s="1" t="s">
        <v>24</v>
      </c>
      <c r="H39">
        <v>52.668999999999997</v>
      </c>
    </row>
    <row r="40" spans="1:8" x14ac:dyDescent="0.45">
      <c r="A40" s="1" t="s">
        <v>78</v>
      </c>
      <c r="B40" s="1">
        <v>2017</v>
      </c>
      <c r="C40" s="2">
        <v>43042</v>
      </c>
      <c r="D40" s="1" t="s">
        <v>10</v>
      </c>
      <c r="E40" s="1" t="s">
        <v>23</v>
      </c>
      <c r="F40" s="1" t="s">
        <v>24</v>
      </c>
      <c r="H40">
        <v>50.232999999999997</v>
      </c>
    </row>
    <row r="41" spans="1:8" x14ac:dyDescent="0.45">
      <c r="A41" s="1" t="s">
        <v>37</v>
      </c>
      <c r="B41" s="1">
        <v>2017</v>
      </c>
      <c r="C41" s="2">
        <v>42867</v>
      </c>
      <c r="D41" s="1" t="s">
        <v>18</v>
      </c>
      <c r="E41" s="1" t="s">
        <v>73</v>
      </c>
      <c r="F41" s="1" t="s">
        <v>75</v>
      </c>
      <c r="H41">
        <v>50.222000000000001</v>
      </c>
    </row>
    <row r="42" spans="1:8" x14ac:dyDescent="0.45">
      <c r="A42" s="1" t="s">
        <v>155</v>
      </c>
      <c r="B42" s="1">
        <v>2017</v>
      </c>
      <c r="C42" s="2">
        <v>42790</v>
      </c>
      <c r="D42" s="1" t="s">
        <v>10</v>
      </c>
      <c r="E42" s="1" t="s">
        <v>142</v>
      </c>
      <c r="F42" s="1" t="s">
        <v>128</v>
      </c>
      <c r="H42">
        <v>49.908000000000001</v>
      </c>
    </row>
    <row r="43" spans="1:8" x14ac:dyDescent="0.45">
      <c r="A43" s="1" t="s">
        <v>58</v>
      </c>
      <c r="B43" s="1">
        <v>2017</v>
      </c>
      <c r="C43" s="2">
        <v>42783</v>
      </c>
      <c r="D43" s="1" t="s">
        <v>10</v>
      </c>
      <c r="E43" s="1" t="s">
        <v>73</v>
      </c>
      <c r="F43" s="1" t="s">
        <v>75</v>
      </c>
      <c r="H43">
        <v>48.064999999999998</v>
      </c>
    </row>
  </sheetData>
  <conditionalFormatting sqref="A16:B18 D16:D18">
    <cfRule type="expression" dxfId="45" priority="13">
      <formula>$E16="F"</formula>
    </cfRule>
    <cfRule type="expression" dxfId="44" priority="14">
      <formula>$E16="Q"</formula>
    </cfRule>
  </conditionalFormatting>
  <conditionalFormatting sqref="A19:B19">
    <cfRule type="expression" dxfId="43" priority="9">
      <formula>#REF!="F"</formula>
    </cfRule>
    <cfRule type="expression" dxfId="42" priority="10">
      <formula>#REF!="Q"</formula>
    </cfRule>
  </conditionalFormatting>
  <conditionalFormatting sqref="A15:D15">
    <cfRule type="expression" dxfId="41" priority="21">
      <formula>$E15="F"</formula>
    </cfRule>
    <cfRule type="expression" dxfId="40" priority="22">
      <formula>$E15="Q"</formula>
    </cfRule>
  </conditionalFormatting>
  <conditionalFormatting sqref="A22:D22">
    <cfRule type="expression" dxfId="39" priority="6">
      <formula>$E22="R1"</formula>
    </cfRule>
    <cfRule type="expression" dxfId="38" priority="7">
      <formula>$E22="F"</formula>
    </cfRule>
    <cfRule type="expression" dxfId="37" priority="8">
      <formula>$E22="Q"</formula>
    </cfRule>
  </conditionalFormatting>
  <conditionalFormatting sqref="A32:D32">
    <cfRule type="expression" dxfId="36" priority="4">
      <formula>$E32="F"</formula>
    </cfRule>
    <cfRule type="expression" dxfId="35" priority="5">
      <formula>$E32="Q"</formula>
    </cfRule>
  </conditionalFormatting>
  <conditionalFormatting sqref="D19">
    <cfRule type="expression" dxfId="34" priority="11">
      <formula>#REF!="F"</formula>
    </cfRule>
    <cfRule type="expression" dxfId="33" priority="12">
      <formula>#REF!="Q"</formula>
    </cfRule>
  </conditionalFormatting>
  <conditionalFormatting sqref="G3:G32">
    <cfRule type="expression" dxfId="32" priority="23">
      <formula>$E3="R1"</formula>
    </cfRule>
    <cfRule type="expression" dxfId="31" priority="24">
      <formula>$E3="F"</formula>
    </cfRule>
    <cfRule type="expression" dxfId="30" priority="25">
      <formula>$E3="Q"</formula>
    </cfRule>
  </conditionalFormatting>
  <conditionalFormatting sqref="G2">
    <cfRule type="expression" dxfId="2" priority="1">
      <formula>$E2="R1"</formula>
    </cfRule>
    <cfRule type="expression" dxfId="1" priority="2">
      <formula>$E2="F"</formula>
    </cfRule>
    <cfRule type="expression" dxfId="0" priority="3">
      <formula>$E2="Q"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5ED06-5656-410A-9AA4-77E4A7D24CDD}">
  <dimension ref="A1:R127"/>
  <sheetViews>
    <sheetView zoomScale="85" zoomScaleNormal="85" workbookViewId="0">
      <pane ySplit="1" topLeftCell="A2" activePane="bottomLeft" state="frozen"/>
      <selection pane="bottomLeft" activeCell="C10" sqref="C10"/>
    </sheetView>
  </sheetViews>
  <sheetFormatPr defaultRowHeight="14.25" x14ac:dyDescent="0.45"/>
  <cols>
    <col min="3" max="3" width="10.53125" bestFit="1" customWidth="1"/>
    <col min="5" max="5" width="27.796875" bestFit="1" customWidth="1"/>
    <col min="10" max="10" width="10.53125" bestFit="1" customWidth="1"/>
  </cols>
  <sheetData>
    <row r="1" spans="1:18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81</v>
      </c>
      <c r="F1" t="s">
        <v>4</v>
      </c>
      <c r="G1" s="6" t="s">
        <v>82</v>
      </c>
      <c r="H1" s="6" t="s">
        <v>5</v>
      </c>
      <c r="I1" s="6" t="s">
        <v>130</v>
      </c>
      <c r="J1" s="6" t="s">
        <v>131</v>
      </c>
      <c r="K1" s="6" t="s">
        <v>132</v>
      </c>
      <c r="L1" s="6" t="s">
        <v>133</v>
      </c>
      <c r="M1" s="6" t="s">
        <v>6</v>
      </c>
      <c r="N1" s="6" t="s">
        <v>134</v>
      </c>
      <c r="O1" s="10" t="s">
        <v>80</v>
      </c>
      <c r="P1" s="10" t="s">
        <v>79</v>
      </c>
      <c r="Q1" s="10" t="s">
        <v>140</v>
      </c>
      <c r="R1" s="10" t="s">
        <v>8</v>
      </c>
    </row>
    <row r="2" spans="1:18" x14ac:dyDescent="0.45">
      <c r="A2" s="25" t="s">
        <v>146</v>
      </c>
      <c r="B2" s="25">
        <v>2025</v>
      </c>
      <c r="C2" s="26">
        <v>45952</v>
      </c>
      <c r="D2" s="25" t="s">
        <v>18</v>
      </c>
      <c r="E2" s="25" t="s">
        <v>12</v>
      </c>
      <c r="F2" s="25" t="s">
        <v>13</v>
      </c>
      <c r="G2" s="25">
        <v>35.520000000000003</v>
      </c>
      <c r="H2" s="25">
        <v>1</v>
      </c>
      <c r="I2" s="25">
        <v>34</v>
      </c>
      <c r="J2" s="25">
        <v>36</v>
      </c>
      <c r="K2" s="25">
        <v>36</v>
      </c>
      <c r="L2" s="25">
        <v>106</v>
      </c>
      <c r="M2" s="25">
        <v>20</v>
      </c>
      <c r="N2" s="25">
        <v>133</v>
      </c>
      <c r="O2" s="25">
        <v>3</v>
      </c>
      <c r="P2" s="25">
        <v>0</v>
      </c>
      <c r="Q2">
        <f>N2-L2</f>
        <v>27</v>
      </c>
      <c r="R2" s="25">
        <v>56.356000000000002</v>
      </c>
    </row>
    <row r="3" spans="1:18" x14ac:dyDescent="0.45">
      <c r="A3" s="25" t="s">
        <v>146</v>
      </c>
      <c r="B3" s="25">
        <v>2025</v>
      </c>
      <c r="C3" s="26">
        <v>45952</v>
      </c>
      <c r="D3" s="25" t="s">
        <v>18</v>
      </c>
      <c r="E3" s="25" t="s">
        <v>42</v>
      </c>
      <c r="F3" s="25" t="s">
        <v>43</v>
      </c>
      <c r="G3" s="25">
        <v>36.4</v>
      </c>
      <c r="H3" s="25">
        <v>2</v>
      </c>
      <c r="I3" s="25">
        <v>40</v>
      </c>
      <c r="J3" s="25">
        <v>38</v>
      </c>
      <c r="K3" s="25">
        <v>24</v>
      </c>
      <c r="L3" s="25">
        <v>102</v>
      </c>
      <c r="M3" s="25">
        <v>20</v>
      </c>
      <c r="N3" s="25">
        <v>131</v>
      </c>
      <c r="O3" s="25">
        <v>3</v>
      </c>
      <c r="P3" s="25">
        <v>0</v>
      </c>
      <c r="Q3">
        <f t="shared" ref="Q3:Q4" si="0">N3-L3</f>
        <v>29</v>
      </c>
      <c r="R3" s="25">
        <v>56.356000000000002</v>
      </c>
    </row>
    <row r="4" spans="1:18" x14ac:dyDescent="0.45">
      <c r="A4" s="25" t="s">
        <v>146</v>
      </c>
      <c r="B4" s="25">
        <v>2025</v>
      </c>
      <c r="C4" s="26">
        <v>45952</v>
      </c>
      <c r="D4" s="25" t="s">
        <v>18</v>
      </c>
      <c r="E4" s="25" t="s">
        <v>135</v>
      </c>
      <c r="F4" s="25" t="s">
        <v>16</v>
      </c>
      <c r="G4" s="25">
        <v>30.42</v>
      </c>
      <c r="H4" s="25">
        <v>3</v>
      </c>
      <c r="I4" s="25">
        <v>38</v>
      </c>
      <c r="J4" s="25">
        <v>20</v>
      </c>
      <c r="K4" s="25">
        <v>40</v>
      </c>
      <c r="L4" s="25">
        <v>98</v>
      </c>
      <c r="M4" s="25">
        <v>20</v>
      </c>
      <c r="N4" s="25">
        <v>131</v>
      </c>
      <c r="O4" s="25">
        <v>3</v>
      </c>
      <c r="P4" s="25">
        <v>2</v>
      </c>
      <c r="Q4">
        <f t="shared" si="0"/>
        <v>33</v>
      </c>
      <c r="R4" s="25">
        <v>56.356000000000002</v>
      </c>
    </row>
    <row r="5" spans="1:18" x14ac:dyDescent="0.45">
      <c r="A5" s="12" t="s">
        <v>9</v>
      </c>
      <c r="B5" s="12">
        <v>2025</v>
      </c>
      <c r="C5" s="7">
        <v>45730</v>
      </c>
      <c r="D5" s="12" t="s">
        <v>10</v>
      </c>
      <c r="E5" s="6" t="s">
        <v>35</v>
      </c>
      <c r="F5" s="6" t="s">
        <v>15</v>
      </c>
      <c r="G5" s="3">
        <v>24.509589041095889</v>
      </c>
      <c r="H5" s="8">
        <v>1</v>
      </c>
      <c r="I5" s="6">
        <v>36</v>
      </c>
      <c r="J5" s="6">
        <v>34</v>
      </c>
      <c r="K5" s="6">
        <v>34</v>
      </c>
      <c r="L5" s="6">
        <v>104</v>
      </c>
      <c r="M5" s="6">
        <v>40</v>
      </c>
      <c r="N5" s="6">
        <v>170</v>
      </c>
      <c r="O5">
        <v>5</v>
      </c>
      <c r="P5">
        <v>3</v>
      </c>
      <c r="Q5">
        <v>66</v>
      </c>
      <c r="R5">
        <v>56.284999999999997</v>
      </c>
    </row>
    <row r="6" spans="1:18" x14ac:dyDescent="0.45">
      <c r="A6" s="12" t="s">
        <v>9</v>
      </c>
      <c r="B6" s="12">
        <v>2025</v>
      </c>
      <c r="C6" s="7">
        <v>45730</v>
      </c>
      <c r="D6" s="12" t="s">
        <v>10</v>
      </c>
      <c r="E6" s="6" t="s">
        <v>97</v>
      </c>
      <c r="F6" s="6" t="s">
        <v>98</v>
      </c>
      <c r="G6" s="3">
        <v>17.479452054794521</v>
      </c>
      <c r="H6" s="8">
        <v>2</v>
      </c>
      <c r="I6" s="6">
        <v>34</v>
      </c>
      <c r="J6" s="6">
        <v>40</v>
      </c>
      <c r="K6" s="6">
        <v>36</v>
      </c>
      <c r="L6" s="6">
        <v>110</v>
      </c>
      <c r="M6" s="6">
        <v>40</v>
      </c>
      <c r="N6" s="6">
        <v>169</v>
      </c>
      <c r="O6">
        <v>6</v>
      </c>
      <c r="P6">
        <v>1</v>
      </c>
      <c r="Q6">
        <v>59</v>
      </c>
      <c r="R6">
        <v>56.284999999999997</v>
      </c>
    </row>
    <row r="7" spans="1:18" x14ac:dyDescent="0.45">
      <c r="A7" s="12" t="s">
        <v>9</v>
      </c>
      <c r="B7" s="12">
        <v>2025</v>
      </c>
      <c r="C7" s="7">
        <v>45730</v>
      </c>
      <c r="D7" s="12" t="s">
        <v>10</v>
      </c>
      <c r="E7" s="6" t="s">
        <v>42</v>
      </c>
      <c r="F7" s="6" t="s">
        <v>43</v>
      </c>
      <c r="G7" s="3">
        <v>35.794520547945204</v>
      </c>
      <c r="H7" s="8">
        <v>3</v>
      </c>
      <c r="I7" s="6">
        <v>38</v>
      </c>
      <c r="J7" s="6">
        <v>28</v>
      </c>
      <c r="K7" s="6">
        <v>32</v>
      </c>
      <c r="L7" s="6">
        <v>98</v>
      </c>
      <c r="M7" s="6">
        <v>40</v>
      </c>
      <c r="N7" s="6">
        <v>148</v>
      </c>
      <c r="O7">
        <v>3</v>
      </c>
      <c r="P7">
        <v>1</v>
      </c>
      <c r="Q7">
        <v>50</v>
      </c>
      <c r="R7">
        <v>56.284999999999997</v>
      </c>
    </row>
    <row r="8" spans="1:18" x14ac:dyDescent="0.45">
      <c r="A8" s="6" t="s">
        <v>17</v>
      </c>
      <c r="B8" s="6">
        <v>2024</v>
      </c>
      <c r="C8" s="7">
        <v>45584</v>
      </c>
      <c r="D8" s="6" t="s">
        <v>18</v>
      </c>
      <c r="E8" s="6" t="s">
        <v>135</v>
      </c>
      <c r="F8" s="6" t="s">
        <v>16</v>
      </c>
      <c r="G8" s="3">
        <v>29.410958904109588</v>
      </c>
      <c r="H8" s="8">
        <v>1</v>
      </c>
      <c r="I8" s="6">
        <v>22</v>
      </c>
      <c r="J8" s="6">
        <v>34</v>
      </c>
      <c r="K8" s="6">
        <v>28</v>
      </c>
      <c r="L8" s="6">
        <v>84</v>
      </c>
      <c r="M8" s="6">
        <v>60</v>
      </c>
      <c r="N8" s="6">
        <v>150</v>
      </c>
      <c r="O8">
        <v>3</v>
      </c>
      <c r="P8">
        <v>0</v>
      </c>
      <c r="Q8">
        <v>66</v>
      </c>
      <c r="R8" s="4">
        <v>54.710999999999999</v>
      </c>
    </row>
    <row r="9" spans="1:18" x14ac:dyDescent="0.45">
      <c r="A9" s="6" t="s">
        <v>17</v>
      </c>
      <c r="B9" s="6">
        <v>2024</v>
      </c>
      <c r="C9" s="7">
        <v>45584</v>
      </c>
      <c r="D9" s="6" t="s">
        <v>18</v>
      </c>
      <c r="E9" s="6" t="s">
        <v>30</v>
      </c>
      <c r="F9" s="6" t="s">
        <v>32</v>
      </c>
      <c r="G9" s="3">
        <v>30.123287671232877</v>
      </c>
      <c r="H9" s="8">
        <v>2</v>
      </c>
      <c r="I9" s="6">
        <v>38</v>
      </c>
      <c r="J9" s="6">
        <v>30</v>
      </c>
      <c r="K9" s="6">
        <v>36</v>
      </c>
      <c r="L9" s="6">
        <v>104</v>
      </c>
      <c r="M9" s="6">
        <v>20</v>
      </c>
      <c r="N9" s="6">
        <v>138</v>
      </c>
      <c r="O9">
        <v>3</v>
      </c>
      <c r="P9">
        <v>2</v>
      </c>
      <c r="Q9">
        <v>34</v>
      </c>
      <c r="R9" s="4">
        <v>54.710999999999999</v>
      </c>
    </row>
    <row r="10" spans="1:18" x14ac:dyDescent="0.45">
      <c r="A10" s="6" t="s">
        <v>17</v>
      </c>
      <c r="B10" s="6">
        <v>2024</v>
      </c>
      <c r="C10" s="7">
        <v>45584</v>
      </c>
      <c r="D10" s="6" t="s">
        <v>18</v>
      </c>
      <c r="E10" s="6" t="s">
        <v>35</v>
      </c>
      <c r="F10" s="6" t="s">
        <v>15</v>
      </c>
      <c r="G10" s="3">
        <v>24.109589041095891</v>
      </c>
      <c r="H10" s="8">
        <v>3</v>
      </c>
      <c r="I10" s="6">
        <v>40</v>
      </c>
      <c r="J10" s="6">
        <v>38</v>
      </c>
      <c r="K10" s="6">
        <v>34</v>
      </c>
      <c r="L10" s="6">
        <v>112</v>
      </c>
      <c r="M10" s="6">
        <v>0</v>
      </c>
      <c r="N10" s="6">
        <v>128</v>
      </c>
      <c r="O10">
        <v>3</v>
      </c>
      <c r="P10">
        <v>2</v>
      </c>
      <c r="Q10">
        <v>16</v>
      </c>
      <c r="R10" s="4">
        <v>54.710999999999999</v>
      </c>
    </row>
    <row r="11" spans="1:18" x14ac:dyDescent="0.45">
      <c r="A11" s="12" t="s">
        <v>25</v>
      </c>
      <c r="B11" s="12">
        <v>2024</v>
      </c>
      <c r="C11" s="7">
        <v>45512</v>
      </c>
      <c r="D11" s="12" t="s">
        <v>26</v>
      </c>
      <c r="E11" s="6" t="s">
        <v>51</v>
      </c>
      <c r="F11" s="6" t="s">
        <v>52</v>
      </c>
      <c r="G11" s="3">
        <v>28.926027397260274</v>
      </c>
      <c r="H11" s="8">
        <v>1</v>
      </c>
      <c r="I11" s="6">
        <v>40</v>
      </c>
      <c r="J11" s="6">
        <v>20</v>
      </c>
      <c r="K11" s="6">
        <v>38</v>
      </c>
      <c r="L11" s="6">
        <v>98</v>
      </c>
      <c r="M11" s="6">
        <v>40</v>
      </c>
      <c r="N11" s="6">
        <v>164</v>
      </c>
      <c r="O11">
        <v>6</v>
      </c>
      <c r="P11">
        <v>3</v>
      </c>
      <c r="Q11">
        <v>66</v>
      </c>
      <c r="R11">
        <v>55.728000000000002</v>
      </c>
    </row>
    <row r="12" spans="1:18" x14ac:dyDescent="0.45">
      <c r="A12" s="12" t="s">
        <v>25</v>
      </c>
      <c r="B12" s="12">
        <v>2024</v>
      </c>
      <c r="C12" s="7">
        <v>45512</v>
      </c>
      <c r="D12" s="12" t="s">
        <v>26</v>
      </c>
      <c r="E12" s="6" t="s">
        <v>27</v>
      </c>
      <c r="F12" s="6" t="s">
        <v>29</v>
      </c>
      <c r="G12" s="3">
        <v>26.117808219178084</v>
      </c>
      <c r="H12" s="8">
        <v>2</v>
      </c>
      <c r="I12" s="6">
        <v>28</v>
      </c>
      <c r="J12" s="6">
        <v>38</v>
      </c>
      <c r="K12" s="6">
        <v>28</v>
      </c>
      <c r="L12" s="6">
        <v>94</v>
      </c>
      <c r="M12" s="6">
        <v>40</v>
      </c>
      <c r="N12" s="6">
        <v>153</v>
      </c>
      <c r="O12">
        <v>5</v>
      </c>
      <c r="P12">
        <v>2</v>
      </c>
      <c r="Q12">
        <v>59</v>
      </c>
      <c r="R12">
        <v>55.728000000000002</v>
      </c>
    </row>
    <row r="13" spans="1:18" x14ac:dyDescent="0.45">
      <c r="A13" s="12" t="s">
        <v>25</v>
      </c>
      <c r="B13" s="12">
        <v>2024</v>
      </c>
      <c r="C13" s="7">
        <v>45512</v>
      </c>
      <c r="D13" s="12" t="s">
        <v>26</v>
      </c>
      <c r="E13" s="6" t="s">
        <v>102</v>
      </c>
      <c r="F13" s="6" t="s">
        <v>16</v>
      </c>
      <c r="G13" s="3">
        <v>23.895890410958906</v>
      </c>
      <c r="H13" s="8">
        <v>3</v>
      </c>
      <c r="I13">
        <v>36</v>
      </c>
      <c r="J13">
        <v>40</v>
      </c>
      <c r="K13">
        <v>30</v>
      </c>
      <c r="L13">
        <v>106</v>
      </c>
      <c r="M13">
        <v>20</v>
      </c>
      <c r="N13">
        <v>131</v>
      </c>
      <c r="O13">
        <v>3</v>
      </c>
      <c r="P13">
        <v>0</v>
      </c>
      <c r="Q13">
        <v>25</v>
      </c>
      <c r="R13">
        <v>55.728000000000002</v>
      </c>
    </row>
    <row r="14" spans="1:18" x14ac:dyDescent="0.45">
      <c r="A14" s="6" t="s">
        <v>33</v>
      </c>
      <c r="B14" s="6">
        <v>2024</v>
      </c>
      <c r="C14" s="7">
        <v>45395</v>
      </c>
      <c r="D14" s="6" t="s">
        <v>10</v>
      </c>
      <c r="E14" s="6" t="s">
        <v>57</v>
      </c>
      <c r="F14" s="6" t="s">
        <v>46</v>
      </c>
      <c r="G14" s="3">
        <v>25.586301369863012</v>
      </c>
      <c r="H14" s="8">
        <v>1</v>
      </c>
      <c r="I14">
        <v>32</v>
      </c>
      <c r="J14">
        <v>36</v>
      </c>
      <c r="K14">
        <v>40</v>
      </c>
      <c r="L14">
        <v>108</v>
      </c>
      <c r="M14">
        <v>40</v>
      </c>
      <c r="N14">
        <v>163</v>
      </c>
      <c r="O14">
        <v>4</v>
      </c>
      <c r="P14">
        <v>2</v>
      </c>
      <c r="Q14">
        <v>55</v>
      </c>
      <c r="R14">
        <v>54.579000000000001</v>
      </c>
    </row>
    <row r="15" spans="1:18" x14ac:dyDescent="0.45">
      <c r="A15" s="6" t="s">
        <v>33</v>
      </c>
      <c r="B15" s="6">
        <v>2024</v>
      </c>
      <c r="C15" s="7">
        <v>45395</v>
      </c>
      <c r="D15" s="6" t="s">
        <v>10</v>
      </c>
      <c r="E15" s="6" t="s">
        <v>42</v>
      </c>
      <c r="F15" s="6" t="s">
        <v>43</v>
      </c>
      <c r="G15" s="3">
        <v>34.876712328767127</v>
      </c>
      <c r="H15" s="8">
        <v>2</v>
      </c>
      <c r="I15">
        <v>38</v>
      </c>
      <c r="J15">
        <v>32</v>
      </c>
      <c r="K15">
        <v>38</v>
      </c>
      <c r="L15">
        <v>108</v>
      </c>
      <c r="M15">
        <v>20</v>
      </c>
      <c r="N15">
        <v>150</v>
      </c>
      <c r="O15">
        <v>5</v>
      </c>
      <c r="P15">
        <v>2</v>
      </c>
      <c r="Q15">
        <v>42</v>
      </c>
      <c r="R15">
        <v>54.579000000000001</v>
      </c>
    </row>
    <row r="16" spans="1:18" x14ac:dyDescent="0.45">
      <c r="A16" s="6" t="s">
        <v>33</v>
      </c>
      <c r="B16" s="6">
        <v>2024</v>
      </c>
      <c r="C16" s="7">
        <v>45395</v>
      </c>
      <c r="D16" s="6" t="s">
        <v>10</v>
      </c>
      <c r="E16" s="6" t="s">
        <v>51</v>
      </c>
      <c r="F16" s="6" t="s">
        <v>52</v>
      </c>
      <c r="G16" s="3">
        <v>28.605479452054794</v>
      </c>
      <c r="H16" s="8">
        <v>3</v>
      </c>
      <c r="I16">
        <v>30</v>
      </c>
      <c r="J16">
        <v>40</v>
      </c>
      <c r="K16">
        <v>32</v>
      </c>
      <c r="L16">
        <v>102</v>
      </c>
      <c r="M16">
        <v>20</v>
      </c>
      <c r="N16">
        <v>143</v>
      </c>
      <c r="O16">
        <v>6</v>
      </c>
      <c r="P16">
        <v>2</v>
      </c>
      <c r="Q16">
        <v>41</v>
      </c>
      <c r="R16">
        <v>54.579000000000001</v>
      </c>
    </row>
    <row r="17" spans="1:18" x14ac:dyDescent="0.45">
      <c r="A17" s="12" t="s">
        <v>37</v>
      </c>
      <c r="B17" s="12">
        <v>2024</v>
      </c>
      <c r="C17" s="7">
        <v>45368</v>
      </c>
      <c r="D17" s="8" t="s">
        <v>10</v>
      </c>
      <c r="E17" s="6" t="s">
        <v>38</v>
      </c>
      <c r="F17" s="6" t="s">
        <v>40</v>
      </c>
      <c r="G17" s="3">
        <v>33.328767123287669</v>
      </c>
      <c r="H17" s="8">
        <v>1</v>
      </c>
      <c r="I17">
        <v>34</v>
      </c>
      <c r="J17">
        <v>38</v>
      </c>
      <c r="K17">
        <v>1</v>
      </c>
      <c r="L17">
        <v>73</v>
      </c>
      <c r="M17">
        <v>60</v>
      </c>
      <c r="N17">
        <v>144</v>
      </c>
      <c r="O17">
        <v>3</v>
      </c>
      <c r="P17">
        <v>2</v>
      </c>
      <c r="Q17">
        <v>71</v>
      </c>
      <c r="R17">
        <v>54.579000000000001</v>
      </c>
    </row>
    <row r="18" spans="1:18" x14ac:dyDescent="0.45">
      <c r="A18" s="12" t="s">
        <v>37</v>
      </c>
      <c r="B18" s="12">
        <v>2024</v>
      </c>
      <c r="C18" s="7">
        <v>45368</v>
      </c>
      <c r="D18" s="8" t="s">
        <v>10</v>
      </c>
      <c r="E18" s="6" t="s">
        <v>84</v>
      </c>
      <c r="F18" s="6" t="s">
        <v>52</v>
      </c>
      <c r="G18" s="3">
        <v>21.473972602739725</v>
      </c>
      <c r="H18" s="8">
        <v>2</v>
      </c>
      <c r="I18">
        <v>40</v>
      </c>
      <c r="J18">
        <v>40</v>
      </c>
      <c r="K18">
        <v>34</v>
      </c>
      <c r="L18">
        <v>114</v>
      </c>
      <c r="M18">
        <v>20</v>
      </c>
      <c r="N18">
        <v>143</v>
      </c>
      <c r="O18">
        <v>4</v>
      </c>
      <c r="P18">
        <v>0</v>
      </c>
      <c r="Q18">
        <v>29</v>
      </c>
      <c r="R18">
        <v>54.579000000000001</v>
      </c>
    </row>
    <row r="19" spans="1:18" x14ac:dyDescent="0.45">
      <c r="A19" s="12" t="s">
        <v>37</v>
      </c>
      <c r="B19" s="12">
        <v>2024</v>
      </c>
      <c r="C19" s="7">
        <v>45368</v>
      </c>
      <c r="D19" s="8" t="s">
        <v>10</v>
      </c>
      <c r="E19" s="6" t="s">
        <v>103</v>
      </c>
      <c r="F19" s="6" t="s">
        <v>92</v>
      </c>
      <c r="G19" s="3">
        <v>23.389041095890413</v>
      </c>
      <c r="H19" s="8">
        <v>3</v>
      </c>
      <c r="I19">
        <v>32</v>
      </c>
      <c r="J19">
        <v>36</v>
      </c>
      <c r="K19">
        <v>38</v>
      </c>
      <c r="L19">
        <v>106</v>
      </c>
      <c r="M19">
        <v>20</v>
      </c>
      <c r="N19">
        <v>133</v>
      </c>
      <c r="O19">
        <v>2</v>
      </c>
      <c r="P19">
        <v>1</v>
      </c>
      <c r="Q19">
        <v>27</v>
      </c>
      <c r="R19">
        <v>54.579000000000001</v>
      </c>
    </row>
    <row r="20" spans="1:18" x14ac:dyDescent="0.45">
      <c r="A20" s="12" t="s">
        <v>44</v>
      </c>
      <c r="B20" s="12">
        <v>2024</v>
      </c>
      <c r="C20" s="7">
        <v>45325</v>
      </c>
      <c r="D20" s="12" t="s">
        <v>10</v>
      </c>
      <c r="E20" s="6" t="s">
        <v>124</v>
      </c>
      <c r="F20" s="6" t="s">
        <v>118</v>
      </c>
      <c r="G20" s="3">
        <v>20.517808219178082</v>
      </c>
      <c r="H20" s="8">
        <v>1</v>
      </c>
      <c r="I20">
        <v>34</v>
      </c>
      <c r="J20">
        <v>26</v>
      </c>
      <c r="K20">
        <v>38</v>
      </c>
      <c r="L20">
        <v>98</v>
      </c>
      <c r="M20">
        <v>0</v>
      </c>
      <c r="N20">
        <v>104</v>
      </c>
      <c r="O20">
        <v>2</v>
      </c>
      <c r="P20">
        <v>0</v>
      </c>
      <c r="Q20">
        <v>6</v>
      </c>
      <c r="R20">
        <v>51.195</v>
      </c>
    </row>
    <row r="21" spans="1:18" x14ac:dyDescent="0.45">
      <c r="A21" s="12" t="s">
        <v>44</v>
      </c>
      <c r="B21" s="12">
        <v>2024</v>
      </c>
      <c r="C21" s="7">
        <v>45325</v>
      </c>
      <c r="D21" s="12" t="s">
        <v>10</v>
      </c>
      <c r="E21" s="6" t="s">
        <v>31</v>
      </c>
      <c r="F21" s="6" t="s">
        <v>32</v>
      </c>
      <c r="G21" s="3">
        <v>35.010958904109586</v>
      </c>
      <c r="H21" s="8">
        <v>2</v>
      </c>
      <c r="I21">
        <v>40</v>
      </c>
      <c r="J21">
        <v>28</v>
      </c>
      <c r="K21">
        <v>24</v>
      </c>
      <c r="L21">
        <v>92</v>
      </c>
      <c r="M21">
        <v>0</v>
      </c>
      <c r="N21">
        <v>104</v>
      </c>
      <c r="O21">
        <v>4</v>
      </c>
      <c r="P21">
        <v>2</v>
      </c>
      <c r="Q21">
        <v>12</v>
      </c>
      <c r="R21">
        <v>51.195</v>
      </c>
    </row>
    <row r="22" spans="1:18" x14ac:dyDescent="0.45">
      <c r="A22" s="12" t="s">
        <v>44</v>
      </c>
      <c r="B22" s="12">
        <v>2024</v>
      </c>
      <c r="C22" s="7">
        <v>45325</v>
      </c>
      <c r="D22" s="12" t="s">
        <v>10</v>
      </c>
      <c r="E22" s="6" t="s">
        <v>135</v>
      </c>
      <c r="F22" s="6" t="s">
        <v>16</v>
      </c>
      <c r="G22" s="3">
        <v>28.701369863013699</v>
      </c>
      <c r="H22" s="8">
        <v>3</v>
      </c>
      <c r="I22">
        <v>24</v>
      </c>
      <c r="J22">
        <v>32</v>
      </c>
      <c r="K22">
        <v>32</v>
      </c>
      <c r="L22">
        <v>88</v>
      </c>
      <c r="M22">
        <v>0</v>
      </c>
      <c r="N22">
        <v>101</v>
      </c>
      <c r="O22">
        <v>5</v>
      </c>
      <c r="P22">
        <v>1</v>
      </c>
      <c r="Q22">
        <v>13</v>
      </c>
      <c r="R22">
        <v>51.195</v>
      </c>
    </row>
    <row r="23" spans="1:18" x14ac:dyDescent="0.45">
      <c r="A23" s="13" t="s">
        <v>47</v>
      </c>
      <c r="B23" s="14">
        <v>2023</v>
      </c>
      <c r="C23" s="7">
        <v>45144</v>
      </c>
      <c r="D23" s="15" t="s">
        <v>18</v>
      </c>
      <c r="E23" s="6" t="s">
        <v>27</v>
      </c>
      <c r="F23" s="6" t="s">
        <v>29</v>
      </c>
      <c r="G23" s="3">
        <v>25.109589041095891</v>
      </c>
      <c r="H23" s="8">
        <v>1</v>
      </c>
      <c r="I23" s="6">
        <v>40</v>
      </c>
      <c r="J23" s="6">
        <v>40</v>
      </c>
      <c r="K23" s="6">
        <v>38</v>
      </c>
      <c r="L23" s="6">
        <v>118</v>
      </c>
      <c r="M23" s="6">
        <v>60</v>
      </c>
      <c r="N23" s="6">
        <v>187</v>
      </c>
      <c r="O23">
        <v>3</v>
      </c>
      <c r="P23">
        <v>1</v>
      </c>
      <c r="Q23">
        <v>69</v>
      </c>
      <c r="R23">
        <v>57.765999999999998</v>
      </c>
    </row>
    <row r="24" spans="1:18" x14ac:dyDescent="0.45">
      <c r="A24" s="13" t="s">
        <v>47</v>
      </c>
      <c r="B24" s="14">
        <v>2023</v>
      </c>
      <c r="C24" s="7">
        <v>45144</v>
      </c>
      <c r="D24" s="15" t="s">
        <v>18</v>
      </c>
      <c r="E24" s="6" t="s">
        <v>51</v>
      </c>
      <c r="F24" s="6" t="s">
        <v>52</v>
      </c>
      <c r="G24" s="3">
        <v>27.917808219178081</v>
      </c>
      <c r="H24" s="8">
        <v>2</v>
      </c>
      <c r="I24" s="6">
        <v>24</v>
      </c>
      <c r="J24" s="6">
        <v>32</v>
      </c>
      <c r="K24" s="6">
        <v>24</v>
      </c>
      <c r="L24" s="6">
        <v>80</v>
      </c>
      <c r="M24" s="6">
        <v>80</v>
      </c>
      <c r="N24" s="6">
        <v>185</v>
      </c>
      <c r="O24">
        <v>7</v>
      </c>
      <c r="P24">
        <v>2</v>
      </c>
      <c r="Q24">
        <v>105</v>
      </c>
      <c r="R24">
        <v>57.765999999999998</v>
      </c>
    </row>
    <row r="25" spans="1:18" x14ac:dyDescent="0.45">
      <c r="A25" s="13" t="s">
        <v>47</v>
      </c>
      <c r="B25" s="14">
        <v>2023</v>
      </c>
      <c r="C25" s="7">
        <v>45144</v>
      </c>
      <c r="D25" s="15" t="s">
        <v>18</v>
      </c>
      <c r="E25" s="6" t="s">
        <v>64</v>
      </c>
      <c r="F25" s="6" t="s">
        <v>43</v>
      </c>
      <c r="G25" s="3">
        <v>25.490410958904111</v>
      </c>
      <c r="H25" s="8">
        <v>3</v>
      </c>
      <c r="I25" s="6">
        <v>26</v>
      </c>
      <c r="J25" s="6">
        <v>38</v>
      </c>
      <c r="K25" s="6">
        <v>20</v>
      </c>
      <c r="L25" s="6">
        <v>84</v>
      </c>
      <c r="M25" s="6">
        <v>80</v>
      </c>
      <c r="N25" s="6">
        <v>175</v>
      </c>
      <c r="O25">
        <v>4</v>
      </c>
      <c r="P25">
        <v>0</v>
      </c>
      <c r="Q25">
        <v>91</v>
      </c>
      <c r="R25">
        <v>57.765999999999998</v>
      </c>
    </row>
    <row r="26" spans="1:18" x14ac:dyDescent="0.45">
      <c r="A26" s="6" t="s">
        <v>33</v>
      </c>
      <c r="B26" s="6">
        <v>2023</v>
      </c>
      <c r="C26" s="7">
        <v>45038</v>
      </c>
      <c r="D26" s="6" t="s">
        <v>10</v>
      </c>
      <c r="E26" s="6" t="s">
        <v>56</v>
      </c>
      <c r="F26" s="6" t="s">
        <v>52</v>
      </c>
      <c r="G26" s="3">
        <v>22.583561643835615</v>
      </c>
      <c r="H26" s="8">
        <v>1</v>
      </c>
      <c r="I26" s="6">
        <v>30</v>
      </c>
      <c r="J26" s="6">
        <v>32</v>
      </c>
      <c r="K26" s="6">
        <v>40</v>
      </c>
      <c r="L26" s="6">
        <v>102</v>
      </c>
      <c r="M26" s="6">
        <v>40</v>
      </c>
      <c r="N26" s="6">
        <v>159</v>
      </c>
      <c r="O26">
        <v>6</v>
      </c>
      <c r="P26">
        <v>2</v>
      </c>
      <c r="Q26">
        <v>57</v>
      </c>
      <c r="R26">
        <v>55.283000000000001</v>
      </c>
    </row>
    <row r="27" spans="1:18" x14ac:dyDescent="0.45">
      <c r="A27" s="6" t="s">
        <v>33</v>
      </c>
      <c r="B27" s="6">
        <v>2023</v>
      </c>
      <c r="C27" s="7">
        <v>45038</v>
      </c>
      <c r="D27" s="6" t="s">
        <v>10</v>
      </c>
      <c r="E27" s="6" t="s">
        <v>20</v>
      </c>
      <c r="F27" s="6" t="s">
        <v>21</v>
      </c>
      <c r="G27" s="3">
        <v>20.854794520547944</v>
      </c>
      <c r="H27" s="8">
        <v>2</v>
      </c>
      <c r="I27" s="6">
        <v>24</v>
      </c>
      <c r="J27" s="6">
        <v>40</v>
      </c>
      <c r="K27" s="6">
        <v>36</v>
      </c>
      <c r="L27" s="6">
        <v>100</v>
      </c>
      <c r="M27" s="6">
        <v>40</v>
      </c>
      <c r="N27" s="6">
        <v>146</v>
      </c>
      <c r="O27">
        <v>2</v>
      </c>
      <c r="P27">
        <v>1</v>
      </c>
      <c r="Q27">
        <v>46</v>
      </c>
      <c r="R27">
        <v>55.283000000000001</v>
      </c>
    </row>
    <row r="28" spans="1:18" x14ac:dyDescent="0.45">
      <c r="A28" s="6" t="s">
        <v>33</v>
      </c>
      <c r="B28" s="6">
        <v>2023</v>
      </c>
      <c r="C28" s="7">
        <v>45038</v>
      </c>
      <c r="D28" s="6" t="s">
        <v>10</v>
      </c>
      <c r="E28" s="6" t="s">
        <v>96</v>
      </c>
      <c r="F28" s="6" t="s">
        <v>15</v>
      </c>
      <c r="G28" s="3">
        <v>28.69041095890411</v>
      </c>
      <c r="H28" s="8">
        <v>3</v>
      </c>
      <c r="I28" s="6">
        <v>20</v>
      </c>
      <c r="J28" s="6">
        <v>36</v>
      </c>
      <c r="K28" s="6">
        <v>38</v>
      </c>
      <c r="L28" s="6">
        <v>94</v>
      </c>
      <c r="M28" s="6">
        <v>40</v>
      </c>
      <c r="N28" s="6">
        <v>142</v>
      </c>
      <c r="O28">
        <v>2</v>
      </c>
      <c r="P28">
        <v>1</v>
      </c>
      <c r="Q28">
        <v>48</v>
      </c>
      <c r="R28">
        <v>55.283000000000001</v>
      </c>
    </row>
    <row r="29" spans="1:18" x14ac:dyDescent="0.45">
      <c r="A29" s="8" t="s">
        <v>53</v>
      </c>
      <c r="B29" s="8">
        <v>2023</v>
      </c>
      <c r="C29" s="9">
        <v>45001</v>
      </c>
      <c r="D29" s="8" t="s">
        <v>10</v>
      </c>
      <c r="E29" s="8" t="s">
        <v>50</v>
      </c>
      <c r="F29" s="8" t="s">
        <v>52</v>
      </c>
      <c r="G29" s="3">
        <v>29.073972602739726</v>
      </c>
      <c r="H29" s="8">
        <v>1</v>
      </c>
      <c r="I29" s="8">
        <v>40</v>
      </c>
      <c r="J29" s="8">
        <v>36</v>
      </c>
      <c r="K29" s="8">
        <v>34</v>
      </c>
      <c r="L29" s="8">
        <v>110</v>
      </c>
      <c r="M29" s="8">
        <v>20</v>
      </c>
      <c r="N29" s="8">
        <v>139</v>
      </c>
      <c r="O29">
        <v>3</v>
      </c>
      <c r="P29">
        <v>1</v>
      </c>
      <c r="Q29">
        <v>29</v>
      </c>
      <c r="R29">
        <v>54.25</v>
      </c>
    </row>
    <row r="30" spans="1:18" x14ac:dyDescent="0.45">
      <c r="A30" s="8" t="s">
        <v>53</v>
      </c>
      <c r="B30" s="8">
        <v>2023</v>
      </c>
      <c r="C30" s="9">
        <v>45001</v>
      </c>
      <c r="D30" s="8" t="s">
        <v>10</v>
      </c>
      <c r="E30" s="8" t="s">
        <v>31</v>
      </c>
      <c r="F30" s="8" t="s">
        <v>32</v>
      </c>
      <c r="G30" s="3">
        <v>34.123287671232873</v>
      </c>
      <c r="H30" s="8">
        <v>2</v>
      </c>
      <c r="I30" s="8">
        <v>32</v>
      </c>
      <c r="J30" s="8">
        <v>34</v>
      </c>
      <c r="K30" s="8">
        <v>40</v>
      </c>
      <c r="L30" s="8">
        <v>106</v>
      </c>
      <c r="M30" s="8">
        <v>0</v>
      </c>
      <c r="N30" s="8">
        <v>119</v>
      </c>
      <c r="O30">
        <v>5</v>
      </c>
      <c r="P30">
        <v>1</v>
      </c>
      <c r="Q30">
        <v>13</v>
      </c>
      <c r="R30">
        <v>54.25</v>
      </c>
    </row>
    <row r="31" spans="1:18" x14ac:dyDescent="0.45">
      <c r="A31" s="8" t="s">
        <v>53</v>
      </c>
      <c r="B31" s="8">
        <v>2023</v>
      </c>
      <c r="C31" s="9">
        <v>45001</v>
      </c>
      <c r="D31" s="8" t="s">
        <v>10</v>
      </c>
      <c r="E31" s="8" t="s">
        <v>19</v>
      </c>
      <c r="F31" s="8" t="s">
        <v>21</v>
      </c>
      <c r="G31" s="3">
        <v>37.131506849315066</v>
      </c>
      <c r="H31" s="8">
        <v>3</v>
      </c>
      <c r="I31" s="8">
        <v>34</v>
      </c>
      <c r="J31" s="8">
        <v>38</v>
      </c>
      <c r="K31" s="8">
        <v>36</v>
      </c>
      <c r="L31" s="8">
        <v>108</v>
      </c>
      <c r="M31" s="8">
        <v>0</v>
      </c>
      <c r="N31" s="8">
        <v>117</v>
      </c>
      <c r="O31">
        <v>3</v>
      </c>
      <c r="P31">
        <v>1</v>
      </c>
      <c r="Q31">
        <v>9</v>
      </c>
      <c r="R31">
        <v>54.25</v>
      </c>
    </row>
    <row r="32" spans="1:18" x14ac:dyDescent="0.45">
      <c r="A32" s="12" t="s">
        <v>55</v>
      </c>
      <c r="B32" s="12">
        <v>2023</v>
      </c>
      <c r="C32" s="16">
        <v>44982</v>
      </c>
      <c r="D32" s="12" t="s">
        <v>10</v>
      </c>
      <c r="E32" s="12" t="s">
        <v>125</v>
      </c>
      <c r="F32" s="12" t="s">
        <v>24</v>
      </c>
      <c r="G32" s="3">
        <v>20.978082191780821</v>
      </c>
      <c r="H32" s="12">
        <v>1</v>
      </c>
      <c r="I32" s="12">
        <v>26</v>
      </c>
      <c r="J32" s="12">
        <v>20</v>
      </c>
      <c r="K32" s="12">
        <v>38</v>
      </c>
      <c r="L32" s="12">
        <v>84</v>
      </c>
      <c r="M32" s="12">
        <v>40</v>
      </c>
      <c r="N32" s="12">
        <v>134</v>
      </c>
      <c r="O32">
        <v>3</v>
      </c>
      <c r="P32">
        <v>1</v>
      </c>
      <c r="Q32">
        <v>50</v>
      </c>
      <c r="R32">
        <v>53.411999999999999</v>
      </c>
    </row>
    <row r="33" spans="1:18" x14ac:dyDescent="0.45">
      <c r="A33" s="12" t="s">
        <v>55</v>
      </c>
      <c r="B33" s="12">
        <v>2023</v>
      </c>
      <c r="C33" s="16">
        <v>44982</v>
      </c>
      <c r="D33" s="12" t="s">
        <v>10</v>
      </c>
      <c r="E33" s="12" t="s">
        <v>39</v>
      </c>
      <c r="F33" s="12" t="s">
        <v>40</v>
      </c>
      <c r="G33" s="3">
        <v>24.80821917808219</v>
      </c>
      <c r="H33" s="12">
        <v>2</v>
      </c>
      <c r="I33" s="12">
        <v>30</v>
      </c>
      <c r="J33" s="12">
        <v>36</v>
      </c>
      <c r="K33" s="12">
        <v>40</v>
      </c>
      <c r="L33" s="12">
        <v>106</v>
      </c>
      <c r="M33" s="12">
        <v>20</v>
      </c>
      <c r="N33" s="12">
        <v>132</v>
      </c>
      <c r="O33">
        <v>3</v>
      </c>
      <c r="P33">
        <v>0</v>
      </c>
      <c r="Q33">
        <v>26</v>
      </c>
      <c r="R33">
        <v>53.411999999999999</v>
      </c>
    </row>
    <row r="34" spans="1:18" x14ac:dyDescent="0.45">
      <c r="A34" s="12" t="s">
        <v>55</v>
      </c>
      <c r="B34" s="12">
        <v>2023</v>
      </c>
      <c r="C34" s="16">
        <v>44982</v>
      </c>
      <c r="D34" s="12" t="s">
        <v>10</v>
      </c>
      <c r="E34" s="12" t="s">
        <v>11</v>
      </c>
      <c r="F34" s="12" t="s">
        <v>13</v>
      </c>
      <c r="G34" s="3">
        <v>35.041095890410958</v>
      </c>
      <c r="H34" s="12">
        <v>3</v>
      </c>
      <c r="I34" s="12">
        <v>36</v>
      </c>
      <c r="J34" s="12">
        <v>34</v>
      </c>
      <c r="K34" s="12">
        <v>18</v>
      </c>
      <c r="L34" s="12">
        <v>88</v>
      </c>
      <c r="M34" s="12">
        <v>20</v>
      </c>
      <c r="N34" s="12">
        <v>119</v>
      </c>
      <c r="O34">
        <v>4</v>
      </c>
      <c r="P34">
        <v>0</v>
      </c>
      <c r="Q34">
        <v>31</v>
      </c>
      <c r="R34">
        <v>53.411999999999999</v>
      </c>
    </row>
    <row r="35" spans="1:18" x14ac:dyDescent="0.45">
      <c r="A35" s="8" t="s">
        <v>25</v>
      </c>
      <c r="B35" s="8">
        <v>2022</v>
      </c>
      <c r="C35" s="9">
        <v>44849</v>
      </c>
      <c r="D35" s="8" t="s">
        <v>18</v>
      </c>
      <c r="E35" s="8" t="s">
        <v>57</v>
      </c>
      <c r="F35" s="8" t="s">
        <v>46</v>
      </c>
      <c r="G35" s="3">
        <v>24.090410958904108</v>
      </c>
      <c r="H35" s="8">
        <v>1</v>
      </c>
      <c r="I35" s="6">
        <v>34</v>
      </c>
      <c r="J35" s="6">
        <v>38</v>
      </c>
      <c r="K35" s="6">
        <v>38</v>
      </c>
      <c r="L35" s="6">
        <v>110</v>
      </c>
      <c r="M35" s="23">
        <v>20</v>
      </c>
      <c r="N35" s="23">
        <v>147</v>
      </c>
      <c r="O35">
        <v>5</v>
      </c>
      <c r="P35">
        <v>3</v>
      </c>
      <c r="Q35">
        <v>37</v>
      </c>
    </row>
    <row r="36" spans="1:18" x14ac:dyDescent="0.45">
      <c r="A36" s="8" t="s">
        <v>25</v>
      </c>
      <c r="B36" s="8">
        <v>2022</v>
      </c>
      <c r="C36" s="9">
        <v>44849</v>
      </c>
      <c r="D36" s="8" t="s">
        <v>18</v>
      </c>
      <c r="E36" s="8" t="s">
        <v>51</v>
      </c>
      <c r="F36" s="8" t="s">
        <v>52</v>
      </c>
      <c r="G36" s="3">
        <v>27.109589041095891</v>
      </c>
      <c r="H36" s="8">
        <v>2</v>
      </c>
      <c r="I36" s="6">
        <v>30</v>
      </c>
      <c r="J36" s="6">
        <v>26</v>
      </c>
      <c r="K36" s="6">
        <v>40</v>
      </c>
      <c r="L36" s="6">
        <v>96</v>
      </c>
      <c r="M36" s="23">
        <v>20</v>
      </c>
      <c r="N36" s="23">
        <v>127</v>
      </c>
      <c r="O36">
        <v>5</v>
      </c>
      <c r="P36">
        <v>0</v>
      </c>
      <c r="Q36">
        <v>31</v>
      </c>
    </row>
    <row r="37" spans="1:18" x14ac:dyDescent="0.45">
      <c r="A37" s="8" t="s">
        <v>25</v>
      </c>
      <c r="B37" s="8">
        <v>2022</v>
      </c>
      <c r="C37" s="9">
        <v>44849</v>
      </c>
      <c r="D37" s="8" t="s">
        <v>18</v>
      </c>
      <c r="E37" s="8" t="s">
        <v>38</v>
      </c>
      <c r="F37" s="8" t="s">
        <v>40</v>
      </c>
      <c r="G37" s="3">
        <v>31.906849315068492</v>
      </c>
      <c r="H37" s="8">
        <v>3</v>
      </c>
      <c r="I37" s="6">
        <v>40</v>
      </c>
      <c r="J37" s="6">
        <v>36</v>
      </c>
      <c r="K37" s="6">
        <v>30</v>
      </c>
      <c r="L37" s="6">
        <v>106</v>
      </c>
      <c r="M37" s="6">
        <v>0</v>
      </c>
      <c r="N37" s="23">
        <v>118</v>
      </c>
      <c r="O37">
        <v>5</v>
      </c>
      <c r="P37">
        <v>0</v>
      </c>
      <c r="Q37">
        <v>12</v>
      </c>
    </row>
    <row r="38" spans="1:18" x14ac:dyDescent="0.45">
      <c r="A38" s="12" t="s">
        <v>58</v>
      </c>
      <c r="B38" s="12">
        <v>2022</v>
      </c>
      <c r="C38" s="16">
        <v>44752</v>
      </c>
      <c r="D38" s="12" t="s">
        <v>10</v>
      </c>
      <c r="E38" s="12" t="s">
        <v>126</v>
      </c>
      <c r="F38" s="12" t="s">
        <v>32</v>
      </c>
      <c r="G38" s="3">
        <v>24.290410958904111</v>
      </c>
      <c r="H38" s="12">
        <v>1</v>
      </c>
      <c r="I38" s="6">
        <v>2</v>
      </c>
      <c r="J38" s="6">
        <v>34</v>
      </c>
      <c r="K38" s="6">
        <v>40</v>
      </c>
      <c r="L38" s="6">
        <v>76</v>
      </c>
      <c r="M38" s="6">
        <v>20</v>
      </c>
      <c r="N38" s="6">
        <v>116</v>
      </c>
      <c r="O38">
        <v>6</v>
      </c>
      <c r="P38">
        <v>1</v>
      </c>
      <c r="Q38">
        <v>40</v>
      </c>
      <c r="R38">
        <v>52.052999999999997</v>
      </c>
    </row>
    <row r="39" spans="1:18" x14ac:dyDescent="0.45">
      <c r="A39" s="12" t="s">
        <v>58</v>
      </c>
      <c r="B39" s="12">
        <v>2022</v>
      </c>
      <c r="C39" s="16">
        <v>44752</v>
      </c>
      <c r="D39" s="12" t="s">
        <v>10</v>
      </c>
      <c r="E39" s="12" t="s">
        <v>136</v>
      </c>
      <c r="F39" s="12" t="s">
        <v>137</v>
      </c>
      <c r="G39" s="3">
        <v>24.852054794520548</v>
      </c>
      <c r="H39" s="12">
        <v>2</v>
      </c>
      <c r="I39" s="6">
        <v>28</v>
      </c>
      <c r="J39" s="6">
        <v>22</v>
      </c>
      <c r="K39" s="6">
        <v>34</v>
      </c>
      <c r="L39" s="6">
        <v>84</v>
      </c>
      <c r="M39" s="6">
        <v>20</v>
      </c>
      <c r="N39" s="6">
        <v>114</v>
      </c>
      <c r="O39">
        <v>3</v>
      </c>
      <c r="P39">
        <v>1</v>
      </c>
      <c r="Q39">
        <v>30</v>
      </c>
      <c r="R39">
        <v>52.052999999999997</v>
      </c>
    </row>
    <row r="40" spans="1:18" x14ac:dyDescent="0.45">
      <c r="A40" s="12" t="s">
        <v>58</v>
      </c>
      <c r="B40" s="12">
        <v>2022</v>
      </c>
      <c r="C40" s="16">
        <v>44752</v>
      </c>
      <c r="D40" s="12" t="s">
        <v>10</v>
      </c>
      <c r="E40" s="12" t="s">
        <v>62</v>
      </c>
      <c r="F40" s="12" t="s">
        <v>63</v>
      </c>
      <c r="G40" s="3">
        <v>35.775342465753425</v>
      </c>
      <c r="H40" s="12">
        <v>3</v>
      </c>
      <c r="I40" s="6">
        <v>30</v>
      </c>
      <c r="J40" s="6">
        <v>36</v>
      </c>
      <c r="K40" s="6">
        <v>36</v>
      </c>
      <c r="L40" s="6">
        <v>102</v>
      </c>
      <c r="M40" s="6">
        <v>0</v>
      </c>
      <c r="N40" s="6">
        <v>113</v>
      </c>
      <c r="O40">
        <v>4</v>
      </c>
      <c r="P40">
        <v>1</v>
      </c>
      <c r="Q40">
        <v>11</v>
      </c>
      <c r="R40">
        <v>52.052999999999997</v>
      </c>
    </row>
    <row r="41" spans="1:18" x14ac:dyDescent="0.45">
      <c r="A41" s="8" t="s">
        <v>33</v>
      </c>
      <c r="B41" s="8">
        <v>2022</v>
      </c>
      <c r="C41" s="9">
        <v>44696</v>
      </c>
      <c r="D41" s="8" t="s">
        <v>10</v>
      </c>
      <c r="E41" s="8" t="s">
        <v>57</v>
      </c>
      <c r="F41" s="8" t="s">
        <v>46</v>
      </c>
      <c r="G41" s="3">
        <v>23.671232876712327</v>
      </c>
      <c r="H41" s="8">
        <v>1</v>
      </c>
      <c r="I41" s="8">
        <v>40</v>
      </c>
      <c r="J41" s="8">
        <v>38</v>
      </c>
      <c r="K41" s="8">
        <v>40</v>
      </c>
      <c r="L41" s="8">
        <v>118</v>
      </c>
      <c r="M41" s="8">
        <v>20</v>
      </c>
      <c r="N41" s="8">
        <v>163</v>
      </c>
      <c r="O41">
        <v>5</v>
      </c>
      <c r="P41">
        <v>3</v>
      </c>
      <c r="Q41">
        <v>45</v>
      </c>
      <c r="R41">
        <v>54.314999999999998</v>
      </c>
    </row>
    <row r="42" spans="1:18" x14ac:dyDescent="0.45">
      <c r="A42" s="8" t="s">
        <v>33</v>
      </c>
      <c r="B42" s="8">
        <v>2022</v>
      </c>
      <c r="C42" s="9">
        <v>44696</v>
      </c>
      <c r="D42" s="8" t="s">
        <v>10</v>
      </c>
      <c r="E42" s="8" t="s">
        <v>108</v>
      </c>
      <c r="F42" s="8" t="s">
        <v>98</v>
      </c>
      <c r="G42" s="3">
        <v>24.857534246575341</v>
      </c>
      <c r="H42" s="8">
        <v>2</v>
      </c>
      <c r="I42" s="8">
        <v>30</v>
      </c>
      <c r="J42" s="8">
        <v>36</v>
      </c>
      <c r="K42" s="8">
        <v>36</v>
      </c>
      <c r="L42" s="8">
        <v>102</v>
      </c>
      <c r="M42" s="8">
        <v>20</v>
      </c>
      <c r="N42" s="8">
        <v>128</v>
      </c>
      <c r="O42">
        <v>3</v>
      </c>
      <c r="P42">
        <v>0</v>
      </c>
      <c r="Q42">
        <v>26</v>
      </c>
      <c r="R42">
        <v>54.314999999999998</v>
      </c>
    </row>
    <row r="43" spans="1:18" x14ac:dyDescent="0.45">
      <c r="A43" s="8" t="s">
        <v>33</v>
      </c>
      <c r="B43" s="8">
        <v>2022</v>
      </c>
      <c r="C43" s="9">
        <v>44696</v>
      </c>
      <c r="D43" s="8" t="s">
        <v>10</v>
      </c>
      <c r="E43" s="8" t="s">
        <v>96</v>
      </c>
      <c r="F43" s="8" t="s">
        <v>15</v>
      </c>
      <c r="G43" s="3">
        <v>27.753424657534246</v>
      </c>
      <c r="H43" s="8">
        <v>3</v>
      </c>
      <c r="I43" s="8">
        <v>38</v>
      </c>
      <c r="J43" s="8">
        <v>34</v>
      </c>
      <c r="K43" s="8">
        <v>32</v>
      </c>
      <c r="L43" s="8">
        <v>104</v>
      </c>
      <c r="M43" s="8">
        <v>20</v>
      </c>
      <c r="N43" s="8">
        <v>125</v>
      </c>
      <c r="O43">
        <v>1</v>
      </c>
      <c r="P43">
        <v>0</v>
      </c>
      <c r="Q43">
        <v>21</v>
      </c>
      <c r="R43">
        <v>54.314999999999998</v>
      </c>
    </row>
    <row r="44" spans="1:18" x14ac:dyDescent="0.45">
      <c r="A44" s="12" t="s">
        <v>47</v>
      </c>
      <c r="B44" s="12">
        <v>2022</v>
      </c>
      <c r="C44" s="16">
        <v>44675</v>
      </c>
      <c r="D44" s="12" t="s">
        <v>10</v>
      </c>
      <c r="E44" s="12" t="s">
        <v>45</v>
      </c>
      <c r="F44" s="12" t="s">
        <v>87</v>
      </c>
      <c r="G44" s="3">
        <v>26.427397260273974</v>
      </c>
      <c r="H44" s="12">
        <v>1</v>
      </c>
      <c r="I44" s="6">
        <v>40</v>
      </c>
      <c r="J44" s="6">
        <v>36</v>
      </c>
      <c r="K44" s="6">
        <v>30</v>
      </c>
      <c r="L44" s="6">
        <v>106</v>
      </c>
      <c r="M44" s="6">
        <v>20</v>
      </c>
      <c r="N44" s="6">
        <v>145</v>
      </c>
      <c r="O44">
        <v>6</v>
      </c>
      <c r="P44">
        <v>2</v>
      </c>
      <c r="Q44">
        <v>39</v>
      </c>
      <c r="R44">
        <v>54.281999999999996</v>
      </c>
    </row>
    <row r="45" spans="1:18" x14ac:dyDescent="0.45">
      <c r="A45" s="12" t="s">
        <v>47</v>
      </c>
      <c r="B45" s="12">
        <v>2022</v>
      </c>
      <c r="C45" s="16">
        <v>44675</v>
      </c>
      <c r="D45" s="12" t="s">
        <v>10</v>
      </c>
      <c r="E45" s="12" t="s">
        <v>11</v>
      </c>
      <c r="F45" s="12" t="s">
        <v>13</v>
      </c>
      <c r="G45" s="3">
        <v>34.200000000000003</v>
      </c>
      <c r="H45" s="12">
        <v>2</v>
      </c>
      <c r="I45" s="6">
        <v>38</v>
      </c>
      <c r="J45" s="6">
        <v>38</v>
      </c>
      <c r="K45" s="6">
        <v>24</v>
      </c>
      <c r="L45" s="6">
        <v>100</v>
      </c>
      <c r="M45" s="6">
        <v>20</v>
      </c>
      <c r="N45" s="6">
        <v>134</v>
      </c>
      <c r="O45">
        <v>5</v>
      </c>
      <c r="P45">
        <v>2</v>
      </c>
      <c r="Q45">
        <v>34</v>
      </c>
      <c r="R45">
        <v>54.281999999999996</v>
      </c>
    </row>
    <row r="46" spans="1:18" x14ac:dyDescent="0.45">
      <c r="A46" s="12" t="s">
        <v>47</v>
      </c>
      <c r="B46" s="12">
        <v>2022</v>
      </c>
      <c r="C46" s="16">
        <v>44675</v>
      </c>
      <c r="D46" s="12" t="s">
        <v>10</v>
      </c>
      <c r="E46" s="12" t="s">
        <v>102</v>
      </c>
      <c r="F46" s="12" t="s">
        <v>16</v>
      </c>
      <c r="G46" s="3">
        <v>21.602739726027398</v>
      </c>
      <c r="H46" s="12">
        <v>3</v>
      </c>
      <c r="I46" s="6">
        <v>32</v>
      </c>
      <c r="J46" s="6">
        <v>30</v>
      </c>
      <c r="K46" s="6">
        <v>38</v>
      </c>
      <c r="L46" s="6">
        <v>100</v>
      </c>
      <c r="M46" s="6">
        <v>0</v>
      </c>
      <c r="N46" s="6">
        <v>110</v>
      </c>
      <c r="O46">
        <v>3</v>
      </c>
      <c r="P46">
        <v>1</v>
      </c>
      <c r="Q46">
        <v>10</v>
      </c>
      <c r="R46">
        <v>54.281999999999996</v>
      </c>
    </row>
    <row r="47" spans="1:18" x14ac:dyDescent="0.45">
      <c r="A47" s="8" t="s">
        <v>66</v>
      </c>
      <c r="B47" s="8">
        <v>2021</v>
      </c>
      <c r="C47" s="9">
        <v>44492</v>
      </c>
      <c r="D47" s="8" t="s">
        <v>18</v>
      </c>
      <c r="E47" s="8" t="s">
        <v>57</v>
      </c>
      <c r="F47" s="8" t="s">
        <v>46</v>
      </c>
      <c r="G47" s="3">
        <v>23.112328767123287</v>
      </c>
      <c r="H47" s="8">
        <v>1</v>
      </c>
      <c r="I47" s="6">
        <v>40</v>
      </c>
      <c r="J47" s="6">
        <v>40</v>
      </c>
      <c r="K47" s="6">
        <v>34</v>
      </c>
      <c r="L47" s="6">
        <v>114</v>
      </c>
      <c r="M47" s="6">
        <v>40</v>
      </c>
      <c r="N47" s="6">
        <v>180</v>
      </c>
      <c r="O47">
        <v>6</v>
      </c>
      <c r="P47">
        <v>5</v>
      </c>
      <c r="Q47">
        <v>66</v>
      </c>
      <c r="R47">
        <v>54.216999999999999</v>
      </c>
    </row>
    <row r="48" spans="1:18" x14ac:dyDescent="0.45">
      <c r="A48" s="8" t="s">
        <v>66</v>
      </c>
      <c r="B48" s="8">
        <v>2021</v>
      </c>
      <c r="C48" s="9">
        <v>44492</v>
      </c>
      <c r="D48" s="8" t="s">
        <v>18</v>
      </c>
      <c r="E48" s="8" t="s">
        <v>38</v>
      </c>
      <c r="F48" s="8" t="s">
        <v>40</v>
      </c>
      <c r="G48" s="3">
        <v>30.92876712328767</v>
      </c>
      <c r="H48" s="8">
        <v>2</v>
      </c>
      <c r="I48" s="6">
        <v>32</v>
      </c>
      <c r="J48" s="6">
        <v>36</v>
      </c>
      <c r="K48" s="6">
        <v>40</v>
      </c>
      <c r="L48" s="6">
        <v>108</v>
      </c>
      <c r="M48" s="6">
        <v>0</v>
      </c>
      <c r="N48" s="6">
        <v>124</v>
      </c>
      <c r="O48">
        <v>6</v>
      </c>
      <c r="P48">
        <v>0</v>
      </c>
      <c r="Q48">
        <v>16</v>
      </c>
      <c r="R48">
        <v>54.216999999999999</v>
      </c>
    </row>
    <row r="49" spans="1:18" x14ac:dyDescent="0.45">
      <c r="A49" s="8" t="s">
        <v>66</v>
      </c>
      <c r="B49" s="8">
        <v>2021</v>
      </c>
      <c r="C49" s="9">
        <v>44492</v>
      </c>
      <c r="D49" s="8" t="s">
        <v>18</v>
      </c>
      <c r="E49" s="8" t="s">
        <v>31</v>
      </c>
      <c r="F49" s="8" t="s">
        <v>32</v>
      </c>
      <c r="G49" s="3">
        <v>32.728767123287675</v>
      </c>
      <c r="H49" s="8">
        <v>3</v>
      </c>
      <c r="I49" s="6">
        <v>36</v>
      </c>
      <c r="J49" s="6">
        <v>26</v>
      </c>
      <c r="K49" s="6">
        <v>24</v>
      </c>
      <c r="L49" s="6">
        <v>86</v>
      </c>
      <c r="M49" s="6">
        <v>20</v>
      </c>
      <c r="N49" s="6">
        <v>121</v>
      </c>
      <c r="O49">
        <v>4</v>
      </c>
      <c r="P49">
        <v>1</v>
      </c>
      <c r="Q49">
        <v>35</v>
      </c>
      <c r="R49">
        <v>54.216999999999999</v>
      </c>
    </row>
    <row r="50" spans="1:18" x14ac:dyDescent="0.45">
      <c r="A50" s="12" t="s">
        <v>58</v>
      </c>
      <c r="B50" s="12">
        <v>2021</v>
      </c>
      <c r="C50" s="16">
        <v>44451</v>
      </c>
      <c r="D50" s="12" t="s">
        <v>10</v>
      </c>
      <c r="E50" s="12" t="s">
        <v>88</v>
      </c>
      <c r="F50" s="12" t="s">
        <v>89</v>
      </c>
      <c r="G50" s="3">
        <v>30.668493150684931</v>
      </c>
      <c r="H50" s="12">
        <v>1</v>
      </c>
      <c r="I50" s="6">
        <v>40</v>
      </c>
      <c r="J50" s="6">
        <v>38</v>
      </c>
      <c r="K50" s="6">
        <v>32</v>
      </c>
      <c r="L50" s="6">
        <v>110</v>
      </c>
      <c r="M50" s="6">
        <v>0</v>
      </c>
      <c r="N50" s="6">
        <v>128</v>
      </c>
      <c r="O50">
        <v>6</v>
      </c>
      <c r="P50">
        <v>2</v>
      </c>
      <c r="Q50">
        <v>18</v>
      </c>
      <c r="R50">
        <v>50.137999999999998</v>
      </c>
    </row>
    <row r="51" spans="1:18" x14ac:dyDescent="0.45">
      <c r="A51" s="12" t="s">
        <v>58</v>
      </c>
      <c r="B51" s="12">
        <v>2021</v>
      </c>
      <c r="C51" s="16">
        <v>44451</v>
      </c>
      <c r="D51" s="12" t="s">
        <v>10</v>
      </c>
      <c r="E51" s="12" t="s">
        <v>62</v>
      </c>
      <c r="F51" s="12" t="s">
        <v>63</v>
      </c>
      <c r="G51" s="3">
        <v>34.950684931506849</v>
      </c>
      <c r="H51" s="12">
        <v>2</v>
      </c>
      <c r="I51" s="6">
        <v>32</v>
      </c>
      <c r="J51" s="6">
        <v>40</v>
      </c>
      <c r="K51" s="6">
        <v>40</v>
      </c>
      <c r="L51" s="6">
        <v>112</v>
      </c>
      <c r="M51" s="6">
        <v>0</v>
      </c>
      <c r="N51" s="6">
        <v>128</v>
      </c>
      <c r="O51">
        <v>5</v>
      </c>
      <c r="P51">
        <v>1</v>
      </c>
      <c r="Q51">
        <v>16</v>
      </c>
      <c r="R51">
        <v>50.137999999999998</v>
      </c>
    </row>
    <row r="52" spans="1:18" x14ac:dyDescent="0.45">
      <c r="A52" s="12" t="s">
        <v>58</v>
      </c>
      <c r="B52" s="12">
        <v>2021</v>
      </c>
      <c r="C52" s="16">
        <v>44451</v>
      </c>
      <c r="D52" s="12" t="s">
        <v>10</v>
      </c>
      <c r="E52" s="12" t="s">
        <v>138</v>
      </c>
      <c r="F52" s="12" t="s">
        <v>67</v>
      </c>
      <c r="G52" s="3">
        <v>18.873972602739727</v>
      </c>
      <c r="H52" s="12">
        <v>3</v>
      </c>
      <c r="I52" s="6">
        <v>30</v>
      </c>
      <c r="J52" s="6">
        <v>34</v>
      </c>
      <c r="K52" s="6">
        <v>24</v>
      </c>
      <c r="L52" s="6">
        <v>88</v>
      </c>
      <c r="M52" s="6">
        <v>20</v>
      </c>
      <c r="N52" s="6">
        <v>127</v>
      </c>
      <c r="O52">
        <v>6</v>
      </c>
      <c r="P52">
        <v>3</v>
      </c>
      <c r="Q52">
        <v>39</v>
      </c>
      <c r="R52">
        <v>50.137999999999998</v>
      </c>
    </row>
    <row r="53" spans="1:18" x14ac:dyDescent="0.45">
      <c r="A53" s="12" t="s">
        <v>68</v>
      </c>
      <c r="B53" s="12">
        <v>2021</v>
      </c>
      <c r="C53" s="7">
        <v>44413</v>
      </c>
      <c r="D53" s="12" t="s">
        <v>26</v>
      </c>
      <c r="E53" s="6" t="s">
        <v>65</v>
      </c>
      <c r="F53" s="6" t="s">
        <v>46</v>
      </c>
      <c r="G53" s="3">
        <v>23.30958904109589</v>
      </c>
      <c r="H53" s="8">
        <v>1</v>
      </c>
      <c r="I53" s="6">
        <v>40</v>
      </c>
      <c r="J53" s="6">
        <v>36</v>
      </c>
      <c r="K53" s="6">
        <v>38</v>
      </c>
      <c r="L53" s="6">
        <v>114</v>
      </c>
      <c r="M53" s="6">
        <v>20</v>
      </c>
      <c r="N53" s="6">
        <v>153</v>
      </c>
      <c r="O53">
        <v>5</v>
      </c>
      <c r="P53">
        <v>2</v>
      </c>
      <c r="Q53">
        <v>39</v>
      </c>
      <c r="R53">
        <v>55.107999999999997</v>
      </c>
    </row>
    <row r="54" spans="1:18" x14ac:dyDescent="0.45">
      <c r="A54" s="12" t="s">
        <v>68</v>
      </c>
      <c r="B54" s="12">
        <v>2021</v>
      </c>
      <c r="C54" s="7">
        <v>44413</v>
      </c>
      <c r="D54" s="12" t="s">
        <v>26</v>
      </c>
      <c r="E54" s="6" t="s">
        <v>39</v>
      </c>
      <c r="F54" s="6" t="s">
        <v>40</v>
      </c>
      <c r="G54" s="3">
        <v>23.24931506849315</v>
      </c>
      <c r="H54" s="8">
        <v>2</v>
      </c>
      <c r="I54" s="6">
        <v>28</v>
      </c>
      <c r="J54" s="6">
        <v>18</v>
      </c>
      <c r="K54" s="6">
        <v>32</v>
      </c>
      <c r="L54" s="6">
        <v>78</v>
      </c>
      <c r="M54" s="6">
        <v>40</v>
      </c>
      <c r="N54" s="6">
        <v>129</v>
      </c>
      <c r="O54">
        <v>3</v>
      </c>
      <c r="P54">
        <v>2</v>
      </c>
      <c r="Q54">
        <v>51</v>
      </c>
      <c r="R54">
        <v>55.107999999999997</v>
      </c>
    </row>
    <row r="55" spans="1:18" x14ac:dyDescent="0.45">
      <c r="A55" s="12" t="s">
        <v>68</v>
      </c>
      <c r="B55" s="12">
        <v>2021</v>
      </c>
      <c r="C55" s="7">
        <v>44413</v>
      </c>
      <c r="D55" s="12" t="s">
        <v>26</v>
      </c>
      <c r="E55" s="6" t="s">
        <v>31</v>
      </c>
      <c r="F55" s="6" t="s">
        <v>32</v>
      </c>
      <c r="G55" s="3">
        <v>32.512328767123286</v>
      </c>
      <c r="H55" s="8">
        <v>3</v>
      </c>
      <c r="I55" s="6">
        <v>16</v>
      </c>
      <c r="J55" s="6">
        <v>26</v>
      </c>
      <c r="K55" s="6">
        <v>40</v>
      </c>
      <c r="L55" s="6">
        <v>82</v>
      </c>
      <c r="M55" s="6">
        <v>20</v>
      </c>
      <c r="N55" s="6">
        <v>124</v>
      </c>
      <c r="O55">
        <v>6</v>
      </c>
      <c r="P55">
        <v>3</v>
      </c>
      <c r="Q55">
        <v>42</v>
      </c>
      <c r="R55">
        <v>55.107999999999997</v>
      </c>
    </row>
    <row r="56" spans="1:18" x14ac:dyDescent="0.45">
      <c r="A56" s="8" t="s">
        <v>69</v>
      </c>
      <c r="B56" s="8">
        <v>2021</v>
      </c>
      <c r="C56" s="9">
        <v>44388</v>
      </c>
      <c r="D56" s="8" t="s">
        <v>10</v>
      </c>
      <c r="E56" s="8" t="s">
        <v>139</v>
      </c>
      <c r="F56" s="8" t="s">
        <v>91</v>
      </c>
      <c r="G56" s="3">
        <v>25.104109589041094</v>
      </c>
      <c r="H56" s="8">
        <v>1</v>
      </c>
      <c r="I56" s="6">
        <v>34</v>
      </c>
      <c r="J56" s="6">
        <v>34</v>
      </c>
      <c r="K56" s="6">
        <v>34</v>
      </c>
      <c r="L56" s="6">
        <v>102</v>
      </c>
      <c r="M56" s="6">
        <v>60</v>
      </c>
      <c r="N56" s="6">
        <v>177</v>
      </c>
      <c r="O56">
        <v>4</v>
      </c>
      <c r="P56">
        <v>2</v>
      </c>
      <c r="Q56">
        <v>75</v>
      </c>
      <c r="R56">
        <v>51.48</v>
      </c>
    </row>
    <row r="57" spans="1:18" x14ac:dyDescent="0.45">
      <c r="A57" s="8" t="s">
        <v>69</v>
      </c>
      <c r="B57" s="8">
        <v>2021</v>
      </c>
      <c r="C57" s="9">
        <v>44388</v>
      </c>
      <c r="D57" s="8" t="s">
        <v>10</v>
      </c>
      <c r="E57" s="8" t="s">
        <v>27</v>
      </c>
      <c r="F57" s="8" t="s">
        <v>29</v>
      </c>
      <c r="G57" s="3">
        <v>23.038356164383561</v>
      </c>
      <c r="H57" s="8">
        <v>2</v>
      </c>
      <c r="I57" s="6">
        <v>40</v>
      </c>
      <c r="J57" s="6">
        <v>40</v>
      </c>
      <c r="K57" s="6">
        <v>36</v>
      </c>
      <c r="L57" s="6">
        <v>116</v>
      </c>
      <c r="M57" s="6">
        <v>40</v>
      </c>
      <c r="N57" s="6">
        <v>166</v>
      </c>
      <c r="O57">
        <v>4</v>
      </c>
      <c r="P57">
        <v>0</v>
      </c>
      <c r="Q57">
        <v>50</v>
      </c>
      <c r="R57">
        <v>51.48</v>
      </c>
    </row>
    <row r="58" spans="1:18" x14ac:dyDescent="0.45">
      <c r="A58" s="8" t="s">
        <v>69</v>
      </c>
      <c r="B58" s="8">
        <v>2021</v>
      </c>
      <c r="C58" s="9">
        <v>44388</v>
      </c>
      <c r="D58" s="8" t="s">
        <v>10</v>
      </c>
      <c r="E58" s="8" t="s">
        <v>120</v>
      </c>
      <c r="F58" s="8" t="s">
        <v>121</v>
      </c>
      <c r="G58" s="3">
        <v>30.81095890410959</v>
      </c>
      <c r="H58" s="8">
        <v>3</v>
      </c>
      <c r="I58" s="6">
        <v>38</v>
      </c>
      <c r="J58" s="6">
        <v>24</v>
      </c>
      <c r="K58" s="6">
        <v>32</v>
      </c>
      <c r="L58" s="6">
        <v>94</v>
      </c>
      <c r="M58" s="6">
        <v>40</v>
      </c>
      <c r="N58" s="6">
        <v>144</v>
      </c>
      <c r="O58">
        <v>2</v>
      </c>
      <c r="P58">
        <v>2</v>
      </c>
      <c r="Q58">
        <v>50</v>
      </c>
      <c r="R58">
        <v>51.48</v>
      </c>
    </row>
    <row r="59" spans="1:18" x14ac:dyDescent="0.45">
      <c r="A59" s="12" t="s">
        <v>71</v>
      </c>
      <c r="B59" s="12">
        <v>2020</v>
      </c>
      <c r="C59" s="16">
        <v>43890</v>
      </c>
      <c r="D59" s="12" t="s">
        <v>18</v>
      </c>
      <c r="E59" s="1" t="s">
        <v>51</v>
      </c>
      <c r="F59" s="1" t="s">
        <v>52</v>
      </c>
      <c r="G59" s="3">
        <v>24.482191780821918</v>
      </c>
      <c r="H59" s="18">
        <v>1</v>
      </c>
      <c r="I59" s="1">
        <v>40</v>
      </c>
      <c r="J59" s="1">
        <v>38</v>
      </c>
      <c r="K59" s="1">
        <v>34</v>
      </c>
      <c r="L59" s="1">
        <v>112</v>
      </c>
      <c r="M59" s="1">
        <v>20</v>
      </c>
      <c r="N59" s="1">
        <v>158</v>
      </c>
      <c r="O59">
        <v>7</v>
      </c>
      <c r="P59">
        <v>4</v>
      </c>
      <c r="Q59">
        <v>46</v>
      </c>
      <c r="R59">
        <v>54.576000000000001</v>
      </c>
    </row>
    <row r="60" spans="1:18" x14ac:dyDescent="0.45">
      <c r="A60" s="12" t="s">
        <v>71</v>
      </c>
      <c r="B60" s="12">
        <v>2020</v>
      </c>
      <c r="C60" s="16">
        <v>43890</v>
      </c>
      <c r="D60" s="12" t="s">
        <v>18</v>
      </c>
      <c r="E60" s="1" t="s">
        <v>96</v>
      </c>
      <c r="F60" s="1" t="s">
        <v>15</v>
      </c>
      <c r="G60" s="3">
        <v>25.545205479452054</v>
      </c>
      <c r="H60" s="18">
        <v>2</v>
      </c>
      <c r="I60" s="1">
        <v>28</v>
      </c>
      <c r="J60" s="1">
        <v>40</v>
      </c>
      <c r="K60" s="1">
        <v>36</v>
      </c>
      <c r="L60" s="1">
        <v>104</v>
      </c>
      <c r="M60" s="1">
        <v>20</v>
      </c>
      <c r="N60" s="1">
        <v>135</v>
      </c>
      <c r="O60">
        <v>4</v>
      </c>
      <c r="P60">
        <v>1</v>
      </c>
      <c r="Q60">
        <v>31</v>
      </c>
      <c r="R60">
        <v>54.576000000000001</v>
      </c>
    </row>
    <row r="61" spans="1:18" x14ac:dyDescent="0.45">
      <c r="A61" s="12" t="s">
        <v>71</v>
      </c>
      <c r="B61" s="12">
        <v>2020</v>
      </c>
      <c r="C61" s="16">
        <v>43890</v>
      </c>
      <c r="D61" s="12" t="s">
        <v>18</v>
      </c>
      <c r="E61" s="1" t="s">
        <v>65</v>
      </c>
      <c r="F61" s="1" t="s">
        <v>46</v>
      </c>
      <c r="G61" s="3">
        <v>21.876712328767123</v>
      </c>
      <c r="H61" s="18">
        <v>3</v>
      </c>
      <c r="I61" s="1">
        <v>38</v>
      </c>
      <c r="J61" s="1">
        <v>28</v>
      </c>
      <c r="K61" s="1">
        <v>20</v>
      </c>
      <c r="L61" s="1">
        <v>86</v>
      </c>
      <c r="M61" s="1">
        <v>20</v>
      </c>
      <c r="N61" s="1">
        <v>117</v>
      </c>
      <c r="O61">
        <v>5</v>
      </c>
      <c r="P61">
        <v>0</v>
      </c>
      <c r="Q61">
        <v>31</v>
      </c>
      <c r="R61">
        <v>54.576000000000001</v>
      </c>
    </row>
    <row r="62" spans="1:18" x14ac:dyDescent="0.45">
      <c r="A62" s="17" t="s">
        <v>33</v>
      </c>
      <c r="B62" s="17">
        <v>2020</v>
      </c>
      <c r="C62" s="19">
        <v>43855</v>
      </c>
      <c r="D62" s="17" t="s">
        <v>10</v>
      </c>
      <c r="E62" s="5" t="s">
        <v>96</v>
      </c>
      <c r="F62" s="5" t="s">
        <v>15</v>
      </c>
      <c r="G62" s="3">
        <v>25.449315068493149</v>
      </c>
      <c r="H62" s="17">
        <v>1</v>
      </c>
      <c r="I62" s="5">
        <v>38</v>
      </c>
      <c r="J62" s="5">
        <v>40</v>
      </c>
      <c r="K62" s="5">
        <v>38</v>
      </c>
      <c r="L62" s="5">
        <v>116</v>
      </c>
      <c r="M62" s="5">
        <v>20</v>
      </c>
      <c r="N62" s="5">
        <v>150</v>
      </c>
      <c r="O62">
        <v>4</v>
      </c>
      <c r="P62">
        <v>1</v>
      </c>
      <c r="Q62">
        <v>34</v>
      </c>
      <c r="R62">
        <v>53.93</v>
      </c>
    </row>
    <row r="63" spans="1:18" x14ac:dyDescent="0.45">
      <c r="A63" s="17" t="s">
        <v>33</v>
      </c>
      <c r="B63" s="17">
        <v>2020</v>
      </c>
      <c r="C63" s="19">
        <v>43855</v>
      </c>
      <c r="D63" s="17" t="s">
        <v>10</v>
      </c>
      <c r="E63" s="5" t="s">
        <v>127</v>
      </c>
      <c r="F63" s="5" t="s">
        <v>128</v>
      </c>
      <c r="G63" s="3">
        <v>22.739726027397261</v>
      </c>
      <c r="H63" s="17">
        <v>2</v>
      </c>
      <c r="I63" s="5">
        <v>34</v>
      </c>
      <c r="J63" s="5">
        <v>22</v>
      </c>
      <c r="K63" s="5">
        <v>30</v>
      </c>
      <c r="L63" s="5">
        <v>86</v>
      </c>
      <c r="M63" s="5">
        <v>40</v>
      </c>
      <c r="N63" s="5">
        <v>137</v>
      </c>
      <c r="O63">
        <v>3</v>
      </c>
      <c r="P63">
        <v>2</v>
      </c>
      <c r="Q63">
        <v>51</v>
      </c>
      <c r="R63">
        <v>53.93</v>
      </c>
    </row>
    <row r="64" spans="1:18" x14ac:dyDescent="0.45">
      <c r="A64" s="17" t="s">
        <v>33</v>
      </c>
      <c r="B64" s="17">
        <v>2020</v>
      </c>
      <c r="C64" s="19">
        <v>43855</v>
      </c>
      <c r="D64" s="17" t="s">
        <v>10</v>
      </c>
      <c r="E64" s="5" t="s">
        <v>108</v>
      </c>
      <c r="F64" s="5" t="s">
        <v>98</v>
      </c>
      <c r="G64" s="3">
        <v>22.553424657534247</v>
      </c>
      <c r="H64" s="17">
        <v>3</v>
      </c>
      <c r="I64" s="5">
        <v>36</v>
      </c>
      <c r="J64" s="5">
        <v>34</v>
      </c>
      <c r="K64" s="5">
        <v>36</v>
      </c>
      <c r="L64" s="5">
        <v>106</v>
      </c>
      <c r="M64" s="5">
        <v>20</v>
      </c>
      <c r="N64" s="5">
        <v>134</v>
      </c>
      <c r="O64">
        <v>3</v>
      </c>
      <c r="P64">
        <v>0</v>
      </c>
      <c r="Q64">
        <v>28</v>
      </c>
      <c r="R64">
        <v>53.93</v>
      </c>
    </row>
    <row r="65" spans="1:18" x14ac:dyDescent="0.45">
      <c r="A65" s="12" t="s">
        <v>72</v>
      </c>
      <c r="B65" s="12">
        <v>2019</v>
      </c>
      <c r="C65" s="16">
        <v>43813</v>
      </c>
      <c r="D65" s="12" t="s">
        <v>10</v>
      </c>
      <c r="E65" s="1" t="s">
        <v>38</v>
      </c>
      <c r="F65" s="1" t="s">
        <v>40</v>
      </c>
      <c r="G65" s="24">
        <v>29.068493150684933</v>
      </c>
      <c r="H65" s="18">
        <v>1</v>
      </c>
      <c r="I65" s="1">
        <v>38</v>
      </c>
      <c r="J65" s="1">
        <v>40</v>
      </c>
      <c r="K65" s="1">
        <v>18</v>
      </c>
      <c r="L65" s="1">
        <v>96</v>
      </c>
      <c r="M65" s="1">
        <v>20</v>
      </c>
      <c r="N65" s="1">
        <v>134</v>
      </c>
      <c r="O65">
        <v>6</v>
      </c>
      <c r="P65">
        <v>1</v>
      </c>
      <c r="Q65">
        <v>38</v>
      </c>
      <c r="R65">
        <v>53.168999999999997</v>
      </c>
    </row>
    <row r="66" spans="1:18" x14ac:dyDescent="0.45">
      <c r="A66" s="12" t="s">
        <v>72</v>
      </c>
      <c r="B66" s="12">
        <v>2019</v>
      </c>
      <c r="C66" s="16">
        <v>43813</v>
      </c>
      <c r="D66" s="12" t="s">
        <v>10</v>
      </c>
      <c r="E66" s="1" t="s">
        <v>19</v>
      </c>
      <c r="F66" s="1" t="s">
        <v>21</v>
      </c>
      <c r="G66" s="24">
        <v>33.876712328767127</v>
      </c>
      <c r="H66" s="18">
        <v>2</v>
      </c>
      <c r="I66" s="1">
        <v>36</v>
      </c>
      <c r="J66" s="1">
        <v>18</v>
      </c>
      <c r="K66" s="1">
        <v>36</v>
      </c>
      <c r="L66" s="1">
        <v>90</v>
      </c>
      <c r="M66" s="1">
        <v>20</v>
      </c>
      <c r="N66" s="1">
        <v>116</v>
      </c>
      <c r="O66">
        <v>2</v>
      </c>
      <c r="P66">
        <v>1</v>
      </c>
      <c r="Q66">
        <v>26</v>
      </c>
      <c r="R66">
        <v>53.168999999999997</v>
      </c>
    </row>
    <row r="67" spans="1:18" x14ac:dyDescent="0.45">
      <c r="A67" s="12" t="s">
        <v>72</v>
      </c>
      <c r="B67" s="12">
        <v>2019</v>
      </c>
      <c r="C67" s="16">
        <v>43813</v>
      </c>
      <c r="D67" s="12" t="s">
        <v>10</v>
      </c>
      <c r="E67" s="1" t="s">
        <v>41</v>
      </c>
      <c r="F67" s="1" t="s">
        <v>92</v>
      </c>
      <c r="G67" s="24">
        <v>26.013698630136986</v>
      </c>
      <c r="H67" s="18">
        <v>3</v>
      </c>
      <c r="I67" s="1">
        <v>40</v>
      </c>
      <c r="J67" s="1">
        <v>38</v>
      </c>
      <c r="K67" s="1">
        <v>24</v>
      </c>
      <c r="L67" s="1">
        <v>102</v>
      </c>
      <c r="M67" s="1">
        <v>0</v>
      </c>
      <c r="N67" s="1">
        <v>113</v>
      </c>
      <c r="O67">
        <v>3</v>
      </c>
      <c r="P67">
        <v>1</v>
      </c>
      <c r="Q67">
        <v>11</v>
      </c>
      <c r="R67">
        <v>53.168999999999997</v>
      </c>
    </row>
    <row r="68" spans="1:18" x14ac:dyDescent="0.45">
      <c r="A68" s="8" t="s">
        <v>76</v>
      </c>
      <c r="B68" s="8">
        <v>2019</v>
      </c>
      <c r="C68" s="9">
        <v>43806</v>
      </c>
      <c r="D68" s="8" t="s">
        <v>10</v>
      </c>
      <c r="E68" s="5" t="s">
        <v>39</v>
      </c>
      <c r="F68" s="5" t="s">
        <v>40</v>
      </c>
      <c r="G68" s="3">
        <v>21.586301369863012</v>
      </c>
      <c r="H68" s="17">
        <v>1</v>
      </c>
      <c r="I68" s="5">
        <v>32</v>
      </c>
      <c r="J68" s="5">
        <v>32</v>
      </c>
      <c r="K68" s="5">
        <v>40</v>
      </c>
      <c r="L68" s="5">
        <v>104</v>
      </c>
      <c r="M68" s="5">
        <v>20</v>
      </c>
      <c r="N68" s="5">
        <v>142</v>
      </c>
      <c r="O68">
        <v>4</v>
      </c>
      <c r="P68">
        <v>3</v>
      </c>
      <c r="Q68">
        <v>38</v>
      </c>
      <c r="R68">
        <v>54.075000000000003</v>
      </c>
    </row>
    <row r="69" spans="1:18" x14ac:dyDescent="0.45">
      <c r="A69" s="8" t="s">
        <v>76</v>
      </c>
      <c r="B69" s="8">
        <v>2019</v>
      </c>
      <c r="C69" s="9">
        <v>43806</v>
      </c>
      <c r="D69" s="8" t="s">
        <v>10</v>
      </c>
      <c r="E69" s="5" t="s">
        <v>74</v>
      </c>
      <c r="F69" s="5" t="s">
        <v>75</v>
      </c>
      <c r="G69" s="3">
        <v>31.926027397260274</v>
      </c>
      <c r="H69" s="17">
        <v>2</v>
      </c>
      <c r="I69" s="5">
        <v>30</v>
      </c>
      <c r="J69" s="5">
        <v>36</v>
      </c>
      <c r="K69" s="5">
        <v>36</v>
      </c>
      <c r="L69" s="5">
        <v>102</v>
      </c>
      <c r="M69" s="5">
        <v>20</v>
      </c>
      <c r="N69" s="5">
        <v>133</v>
      </c>
      <c r="O69">
        <v>5</v>
      </c>
      <c r="P69">
        <v>0</v>
      </c>
      <c r="Q69">
        <v>31</v>
      </c>
      <c r="R69">
        <v>54.075000000000003</v>
      </c>
    </row>
    <row r="70" spans="1:18" x14ac:dyDescent="0.45">
      <c r="A70" s="8" t="s">
        <v>76</v>
      </c>
      <c r="B70" s="8">
        <v>2019</v>
      </c>
      <c r="C70" s="9">
        <v>43806</v>
      </c>
      <c r="D70" s="8" t="s">
        <v>10</v>
      </c>
      <c r="E70" s="5" t="s">
        <v>112</v>
      </c>
      <c r="F70" s="5" t="s">
        <v>113</v>
      </c>
      <c r="G70" s="3">
        <v>28.13150684931507</v>
      </c>
      <c r="H70" s="17">
        <v>3</v>
      </c>
      <c r="I70" s="5">
        <v>16</v>
      </c>
      <c r="J70" s="5">
        <v>38</v>
      </c>
      <c r="K70" s="5">
        <v>28</v>
      </c>
      <c r="L70" s="5">
        <v>82</v>
      </c>
      <c r="M70" s="5">
        <v>40</v>
      </c>
      <c r="N70" s="5">
        <v>129</v>
      </c>
      <c r="O70">
        <v>4</v>
      </c>
      <c r="P70">
        <v>0</v>
      </c>
      <c r="Q70">
        <v>47</v>
      </c>
      <c r="R70">
        <v>54.075000000000003</v>
      </c>
    </row>
    <row r="71" spans="1:18" x14ac:dyDescent="0.45">
      <c r="A71" s="18" t="s">
        <v>37</v>
      </c>
      <c r="B71" s="18">
        <v>2019</v>
      </c>
      <c r="C71" s="11">
        <v>43799</v>
      </c>
      <c r="D71" s="18" t="s">
        <v>10</v>
      </c>
      <c r="E71" s="1" t="s">
        <v>39</v>
      </c>
      <c r="F71" s="1" t="s">
        <v>40</v>
      </c>
      <c r="G71" s="3">
        <v>21.567123287671233</v>
      </c>
      <c r="H71" s="18">
        <v>1</v>
      </c>
      <c r="I71" s="1">
        <v>30</v>
      </c>
      <c r="J71" s="1">
        <v>34</v>
      </c>
      <c r="K71" s="1">
        <v>40</v>
      </c>
      <c r="L71" s="1">
        <v>104</v>
      </c>
      <c r="M71" s="1">
        <v>20</v>
      </c>
      <c r="N71" s="1">
        <v>142</v>
      </c>
      <c r="O71">
        <v>4</v>
      </c>
      <c r="P71">
        <v>3</v>
      </c>
      <c r="Q71">
        <v>38</v>
      </c>
      <c r="R71">
        <v>55.494999999999997</v>
      </c>
    </row>
    <row r="72" spans="1:18" x14ac:dyDescent="0.45">
      <c r="A72" s="18" t="s">
        <v>37</v>
      </c>
      <c r="B72" s="18">
        <v>2019</v>
      </c>
      <c r="C72" s="11">
        <v>43799</v>
      </c>
      <c r="D72" s="18" t="s">
        <v>10</v>
      </c>
      <c r="E72" s="1" t="s">
        <v>19</v>
      </c>
      <c r="F72" s="1" t="s">
        <v>21</v>
      </c>
      <c r="G72" s="3">
        <v>33.838356164383562</v>
      </c>
      <c r="H72" s="18">
        <v>2</v>
      </c>
      <c r="I72" s="1">
        <v>28</v>
      </c>
      <c r="J72" s="1">
        <v>40</v>
      </c>
      <c r="K72" s="1">
        <v>34</v>
      </c>
      <c r="L72" s="1">
        <v>102</v>
      </c>
      <c r="M72" s="1">
        <v>20</v>
      </c>
      <c r="N72" s="1">
        <v>133</v>
      </c>
      <c r="O72">
        <v>4</v>
      </c>
      <c r="P72">
        <v>1</v>
      </c>
      <c r="Q72">
        <v>31</v>
      </c>
      <c r="R72">
        <v>55.494999999999997</v>
      </c>
    </row>
    <row r="73" spans="1:18" x14ac:dyDescent="0.45">
      <c r="A73" s="18" t="s">
        <v>37</v>
      </c>
      <c r="B73" s="18">
        <v>2019</v>
      </c>
      <c r="C73" s="11">
        <v>43799</v>
      </c>
      <c r="D73" s="18" t="s">
        <v>10</v>
      </c>
      <c r="E73" s="1" t="s">
        <v>129</v>
      </c>
      <c r="F73" s="1" t="s">
        <v>121</v>
      </c>
      <c r="G73" s="3">
        <v>26.797260273972604</v>
      </c>
      <c r="H73" s="18">
        <v>3</v>
      </c>
      <c r="I73" s="1">
        <v>36</v>
      </c>
      <c r="J73" s="1">
        <v>20</v>
      </c>
      <c r="K73" s="1">
        <v>38</v>
      </c>
      <c r="L73" s="1">
        <v>94</v>
      </c>
      <c r="M73" s="1">
        <v>20</v>
      </c>
      <c r="N73" s="1">
        <v>125</v>
      </c>
      <c r="O73">
        <v>3</v>
      </c>
      <c r="P73">
        <v>2</v>
      </c>
      <c r="Q73">
        <v>31</v>
      </c>
      <c r="R73">
        <v>55.494999999999997</v>
      </c>
    </row>
    <row r="74" spans="1:18" x14ac:dyDescent="0.45">
      <c r="A74" s="17" t="s">
        <v>47</v>
      </c>
      <c r="B74" s="17">
        <v>2019</v>
      </c>
      <c r="C74" s="19">
        <v>43779</v>
      </c>
      <c r="D74" s="17" t="s">
        <v>10</v>
      </c>
      <c r="E74" s="5" t="s">
        <v>51</v>
      </c>
      <c r="F74" s="5" t="s">
        <v>52</v>
      </c>
      <c r="G74" s="3">
        <v>24.17808219178082</v>
      </c>
      <c r="H74" s="17">
        <v>1</v>
      </c>
      <c r="I74" s="5">
        <v>34</v>
      </c>
      <c r="J74" s="5">
        <v>24</v>
      </c>
      <c r="K74" s="5">
        <v>40</v>
      </c>
      <c r="L74" s="5">
        <v>98</v>
      </c>
      <c r="M74" s="5">
        <v>0</v>
      </c>
      <c r="N74" s="5">
        <v>130</v>
      </c>
      <c r="O74">
        <v>7</v>
      </c>
      <c r="P74">
        <v>4</v>
      </c>
      <c r="Q74">
        <v>32</v>
      </c>
      <c r="R74">
        <v>53.826000000000001</v>
      </c>
    </row>
    <row r="75" spans="1:18" x14ac:dyDescent="0.45">
      <c r="A75" s="17" t="s">
        <v>47</v>
      </c>
      <c r="B75" s="17">
        <v>2019</v>
      </c>
      <c r="C75" s="19">
        <v>43779</v>
      </c>
      <c r="D75" s="17" t="s">
        <v>10</v>
      </c>
      <c r="E75" s="5" t="s">
        <v>48</v>
      </c>
      <c r="F75" s="5" t="s">
        <v>46</v>
      </c>
      <c r="G75" s="3">
        <v>36.863013698630134</v>
      </c>
      <c r="H75" s="17">
        <v>2</v>
      </c>
      <c r="I75" s="5">
        <v>30</v>
      </c>
      <c r="J75" s="5">
        <v>40</v>
      </c>
      <c r="K75" s="5">
        <v>30</v>
      </c>
      <c r="L75" s="5">
        <v>100</v>
      </c>
      <c r="M75" s="5">
        <v>0</v>
      </c>
      <c r="N75" s="5">
        <v>109</v>
      </c>
      <c r="O75">
        <v>4</v>
      </c>
      <c r="P75">
        <v>0</v>
      </c>
      <c r="Q75">
        <v>9</v>
      </c>
      <c r="R75">
        <v>53.826000000000001</v>
      </c>
    </row>
    <row r="76" spans="1:18" x14ac:dyDescent="0.45">
      <c r="A76" s="17" t="s">
        <v>47</v>
      </c>
      <c r="B76" s="17">
        <v>2019</v>
      </c>
      <c r="C76" s="19">
        <v>43779</v>
      </c>
      <c r="D76" s="17" t="s">
        <v>10</v>
      </c>
      <c r="E76" s="5" t="s">
        <v>59</v>
      </c>
      <c r="F76" s="5" t="s">
        <v>32</v>
      </c>
      <c r="G76" s="3">
        <v>25.778082191780822</v>
      </c>
      <c r="H76" s="17">
        <v>3</v>
      </c>
      <c r="I76" s="5">
        <v>38</v>
      </c>
      <c r="J76" s="5">
        <v>32</v>
      </c>
      <c r="K76" s="5">
        <v>36</v>
      </c>
      <c r="L76" s="5">
        <v>106</v>
      </c>
      <c r="M76" s="5">
        <v>0</v>
      </c>
      <c r="N76" s="5">
        <v>106</v>
      </c>
      <c r="O76">
        <v>0</v>
      </c>
      <c r="P76">
        <v>0</v>
      </c>
      <c r="Q76">
        <v>0</v>
      </c>
      <c r="R76">
        <v>53.826000000000001</v>
      </c>
    </row>
    <row r="77" spans="1:18" x14ac:dyDescent="0.45">
      <c r="A77" s="18" t="s">
        <v>77</v>
      </c>
      <c r="B77" s="18">
        <v>2019</v>
      </c>
      <c r="C77" s="11">
        <v>43771</v>
      </c>
      <c r="D77" s="18" t="s">
        <v>10</v>
      </c>
      <c r="E77" s="1" t="s">
        <v>65</v>
      </c>
      <c r="F77" s="1" t="s">
        <v>46</v>
      </c>
      <c r="G77" s="3">
        <v>21.550684931506851</v>
      </c>
      <c r="H77" s="18">
        <v>1</v>
      </c>
      <c r="I77" s="1">
        <v>40</v>
      </c>
      <c r="J77" s="1">
        <v>38</v>
      </c>
      <c r="K77" s="1">
        <v>38</v>
      </c>
      <c r="L77" s="1">
        <v>116</v>
      </c>
      <c r="M77" s="1">
        <v>40</v>
      </c>
      <c r="N77" s="1">
        <v>163</v>
      </c>
      <c r="O77">
        <v>3</v>
      </c>
      <c r="P77">
        <v>0</v>
      </c>
      <c r="Q77">
        <v>47</v>
      </c>
      <c r="R77">
        <v>53.822000000000003</v>
      </c>
    </row>
    <row r="78" spans="1:18" x14ac:dyDescent="0.45">
      <c r="A78" s="18" t="s">
        <v>77</v>
      </c>
      <c r="B78" s="18">
        <v>2019</v>
      </c>
      <c r="C78" s="11">
        <v>43771</v>
      </c>
      <c r="D78" s="18" t="s">
        <v>10</v>
      </c>
      <c r="E78" s="1" t="s">
        <v>31</v>
      </c>
      <c r="F78" s="1" t="s">
        <v>32</v>
      </c>
      <c r="G78" s="3">
        <v>30.753424657534246</v>
      </c>
      <c r="H78" s="18">
        <v>2</v>
      </c>
      <c r="I78" s="1">
        <v>28</v>
      </c>
      <c r="J78" s="1">
        <v>36</v>
      </c>
      <c r="K78" s="1">
        <v>36</v>
      </c>
      <c r="L78" s="1">
        <v>100</v>
      </c>
      <c r="M78" s="1">
        <v>40</v>
      </c>
      <c r="N78" s="1">
        <v>154</v>
      </c>
      <c r="O78">
        <v>4</v>
      </c>
      <c r="P78">
        <v>0</v>
      </c>
      <c r="Q78">
        <v>54</v>
      </c>
      <c r="R78">
        <v>53.822000000000003</v>
      </c>
    </row>
    <row r="79" spans="1:18" x14ac:dyDescent="0.45">
      <c r="A79" s="18" t="s">
        <v>77</v>
      </c>
      <c r="B79" s="18">
        <v>2019</v>
      </c>
      <c r="C79" s="11">
        <v>43771</v>
      </c>
      <c r="D79" s="18" t="s">
        <v>10</v>
      </c>
      <c r="E79" s="1" t="s">
        <v>28</v>
      </c>
      <c r="F79" s="1" t="s">
        <v>29</v>
      </c>
      <c r="G79" s="3">
        <v>23.172602739726027</v>
      </c>
      <c r="H79" s="18">
        <v>3</v>
      </c>
      <c r="I79" s="1">
        <v>38</v>
      </c>
      <c r="J79" s="1">
        <v>34</v>
      </c>
      <c r="K79" s="1">
        <v>30</v>
      </c>
      <c r="L79" s="1">
        <v>102</v>
      </c>
      <c r="M79" s="1">
        <v>40</v>
      </c>
      <c r="N79" s="1">
        <v>149</v>
      </c>
      <c r="O79">
        <v>3</v>
      </c>
      <c r="P79">
        <v>0</v>
      </c>
      <c r="Q79">
        <v>47</v>
      </c>
      <c r="R79">
        <v>53.822000000000003</v>
      </c>
    </row>
    <row r="80" spans="1:18" x14ac:dyDescent="0.45">
      <c r="A80" s="5" t="s">
        <v>78</v>
      </c>
      <c r="B80" s="5">
        <v>2019</v>
      </c>
      <c r="C80" s="19">
        <v>43526</v>
      </c>
      <c r="D80" s="5" t="s">
        <v>18</v>
      </c>
      <c r="E80" s="5" t="s">
        <v>39</v>
      </c>
      <c r="F80" s="5" t="s">
        <v>40</v>
      </c>
      <c r="G80" s="3">
        <v>20.81917808219178</v>
      </c>
      <c r="H80" s="17">
        <v>1</v>
      </c>
      <c r="I80" s="5">
        <v>36</v>
      </c>
      <c r="J80" s="5">
        <v>34</v>
      </c>
      <c r="K80" s="5">
        <v>32</v>
      </c>
      <c r="L80" s="5">
        <v>102</v>
      </c>
      <c r="M80" s="5">
        <v>20</v>
      </c>
      <c r="N80" s="5">
        <v>137</v>
      </c>
      <c r="O80">
        <v>5</v>
      </c>
      <c r="P80">
        <v>2</v>
      </c>
      <c r="Q80">
        <v>35</v>
      </c>
      <c r="R80">
        <v>54.338000000000001</v>
      </c>
    </row>
    <row r="81" spans="1:18" x14ac:dyDescent="0.45">
      <c r="A81" s="5" t="s">
        <v>78</v>
      </c>
      <c r="B81" s="5">
        <v>2019</v>
      </c>
      <c r="C81" s="19">
        <v>43526</v>
      </c>
      <c r="D81" s="5" t="s">
        <v>18</v>
      </c>
      <c r="E81" s="5" t="s">
        <v>51</v>
      </c>
      <c r="F81" s="5" t="s">
        <v>52</v>
      </c>
      <c r="G81" s="3">
        <v>23.484931506849314</v>
      </c>
      <c r="H81" s="17">
        <v>2</v>
      </c>
      <c r="I81" s="5">
        <v>1</v>
      </c>
      <c r="J81" s="5">
        <v>36</v>
      </c>
      <c r="K81" s="5">
        <v>40</v>
      </c>
      <c r="L81" s="5">
        <v>77</v>
      </c>
      <c r="M81" s="5">
        <v>20</v>
      </c>
      <c r="N81" s="5">
        <v>119</v>
      </c>
      <c r="O81">
        <v>6</v>
      </c>
      <c r="P81">
        <v>1</v>
      </c>
      <c r="Q81">
        <v>42</v>
      </c>
      <c r="R81">
        <v>54.338000000000001</v>
      </c>
    </row>
    <row r="82" spans="1:18" x14ac:dyDescent="0.45">
      <c r="A82" s="5" t="s">
        <v>78</v>
      </c>
      <c r="B82" s="5">
        <v>2019</v>
      </c>
      <c r="C82" s="19">
        <v>43526</v>
      </c>
      <c r="D82" s="5" t="s">
        <v>18</v>
      </c>
      <c r="E82" s="5" t="s">
        <v>57</v>
      </c>
      <c r="F82" s="5" t="s">
        <v>46</v>
      </c>
      <c r="G82" s="3">
        <v>20.465753424657535</v>
      </c>
      <c r="H82" s="17">
        <v>3</v>
      </c>
      <c r="I82" s="5">
        <v>34</v>
      </c>
      <c r="J82" s="5">
        <v>40</v>
      </c>
      <c r="K82" s="5">
        <v>28</v>
      </c>
      <c r="L82" s="5">
        <v>102</v>
      </c>
      <c r="M82" s="5">
        <v>0</v>
      </c>
      <c r="N82" s="5">
        <v>118</v>
      </c>
      <c r="O82">
        <v>6</v>
      </c>
      <c r="P82">
        <v>0</v>
      </c>
      <c r="Q82">
        <v>16</v>
      </c>
      <c r="R82">
        <v>54.338000000000001</v>
      </c>
    </row>
    <row r="83" spans="1:18" x14ac:dyDescent="0.45">
      <c r="A83" s="1" t="s">
        <v>37</v>
      </c>
      <c r="B83" s="1">
        <v>2019</v>
      </c>
      <c r="C83" s="11">
        <v>43491</v>
      </c>
      <c r="D83" s="1" t="s">
        <v>10</v>
      </c>
      <c r="E83" s="1" t="s">
        <v>74</v>
      </c>
      <c r="F83" s="1" t="s">
        <v>75</v>
      </c>
      <c r="G83" s="3">
        <v>31.063013698630137</v>
      </c>
      <c r="H83" s="18">
        <v>1</v>
      </c>
      <c r="I83" s="1">
        <v>28</v>
      </c>
      <c r="J83" s="1">
        <v>40</v>
      </c>
      <c r="K83" s="1">
        <v>34</v>
      </c>
      <c r="L83" s="1">
        <v>102</v>
      </c>
      <c r="M83" s="1">
        <v>20</v>
      </c>
      <c r="N83" s="1">
        <v>134</v>
      </c>
      <c r="O83">
        <v>4</v>
      </c>
      <c r="P83">
        <v>2</v>
      </c>
      <c r="Q83">
        <v>32</v>
      </c>
      <c r="R83">
        <v>54.046999999999997</v>
      </c>
    </row>
    <row r="84" spans="1:18" x14ac:dyDescent="0.45">
      <c r="A84" s="1" t="s">
        <v>37</v>
      </c>
      <c r="B84" s="1">
        <v>2019</v>
      </c>
      <c r="C84" s="11">
        <v>43491</v>
      </c>
      <c r="D84" s="1" t="s">
        <v>10</v>
      </c>
      <c r="E84" s="1" t="s">
        <v>51</v>
      </c>
      <c r="F84" s="1" t="s">
        <v>52</v>
      </c>
      <c r="G84" s="3">
        <v>23.389041095890413</v>
      </c>
      <c r="H84" s="18">
        <v>2</v>
      </c>
      <c r="I84" s="1">
        <v>38</v>
      </c>
      <c r="J84" s="1">
        <v>28</v>
      </c>
      <c r="K84" s="1">
        <v>36</v>
      </c>
      <c r="L84" s="1">
        <v>102</v>
      </c>
      <c r="M84" s="1">
        <v>0</v>
      </c>
      <c r="N84" s="1">
        <v>120</v>
      </c>
      <c r="O84">
        <v>7</v>
      </c>
      <c r="P84">
        <v>0</v>
      </c>
      <c r="Q84">
        <v>18</v>
      </c>
      <c r="R84">
        <v>54.046999999999997</v>
      </c>
    </row>
    <row r="85" spans="1:18" x14ac:dyDescent="0.45">
      <c r="A85" s="1" t="s">
        <v>37</v>
      </c>
      <c r="B85" s="1">
        <v>2019</v>
      </c>
      <c r="C85" s="11">
        <v>43491</v>
      </c>
      <c r="D85" s="1" t="s">
        <v>10</v>
      </c>
      <c r="E85" s="1" t="s">
        <v>39</v>
      </c>
      <c r="F85" s="1" t="s">
        <v>40</v>
      </c>
      <c r="G85" s="3">
        <v>20.723287671232878</v>
      </c>
      <c r="H85" s="18">
        <v>3</v>
      </c>
      <c r="I85" s="1">
        <v>26</v>
      </c>
      <c r="J85" s="1">
        <v>38</v>
      </c>
      <c r="K85" s="1">
        <v>40</v>
      </c>
      <c r="L85" s="1">
        <v>104</v>
      </c>
      <c r="M85" s="1">
        <v>0</v>
      </c>
      <c r="N85" s="1">
        <v>116</v>
      </c>
      <c r="O85">
        <v>4</v>
      </c>
      <c r="P85">
        <v>1</v>
      </c>
      <c r="Q85">
        <v>12</v>
      </c>
      <c r="R85">
        <v>54.046999999999997</v>
      </c>
    </row>
    <row r="86" spans="1:18" x14ac:dyDescent="0.45">
      <c r="A86" s="8" t="s">
        <v>76</v>
      </c>
      <c r="B86" s="8">
        <v>2019</v>
      </c>
      <c r="C86" s="9">
        <v>43485</v>
      </c>
      <c r="D86" s="8" t="s">
        <v>10</v>
      </c>
      <c r="E86" s="5" t="s">
        <v>120</v>
      </c>
      <c r="F86" s="5" t="s">
        <v>121</v>
      </c>
      <c r="G86" s="3">
        <v>28.336986301369862</v>
      </c>
      <c r="H86" s="17">
        <v>1</v>
      </c>
      <c r="I86" s="5">
        <v>34</v>
      </c>
      <c r="J86" s="5">
        <v>36</v>
      </c>
      <c r="K86" s="5">
        <v>36</v>
      </c>
      <c r="L86" s="5">
        <v>106</v>
      </c>
      <c r="M86" s="5">
        <v>0</v>
      </c>
      <c r="N86" s="5">
        <v>113</v>
      </c>
      <c r="O86">
        <v>2</v>
      </c>
      <c r="P86">
        <v>1</v>
      </c>
      <c r="Q86">
        <v>7</v>
      </c>
      <c r="R86">
        <v>51.37</v>
      </c>
    </row>
    <row r="87" spans="1:18" x14ac:dyDescent="0.45">
      <c r="A87" s="8" t="s">
        <v>76</v>
      </c>
      <c r="B87" s="8">
        <v>2019</v>
      </c>
      <c r="C87" s="9">
        <v>43485</v>
      </c>
      <c r="D87" s="8" t="s">
        <v>10</v>
      </c>
      <c r="E87" s="5" t="s">
        <v>90</v>
      </c>
      <c r="F87" s="5" t="s">
        <v>91</v>
      </c>
      <c r="G87" s="3">
        <v>24.150684931506849</v>
      </c>
      <c r="H87" s="17">
        <v>2</v>
      </c>
      <c r="I87" s="5">
        <v>32</v>
      </c>
      <c r="J87" s="5">
        <v>34</v>
      </c>
      <c r="K87" s="5">
        <v>38</v>
      </c>
      <c r="L87" s="5">
        <v>104</v>
      </c>
      <c r="M87" s="5">
        <v>0</v>
      </c>
      <c r="N87" s="5">
        <v>112</v>
      </c>
      <c r="O87">
        <v>2</v>
      </c>
      <c r="P87">
        <v>1</v>
      </c>
      <c r="Q87">
        <v>8</v>
      </c>
      <c r="R87">
        <v>51.37</v>
      </c>
    </row>
    <row r="88" spans="1:18" x14ac:dyDescent="0.45">
      <c r="A88" s="8" t="s">
        <v>76</v>
      </c>
      <c r="B88" s="8">
        <v>2019</v>
      </c>
      <c r="C88" s="9">
        <v>43485</v>
      </c>
      <c r="D88" s="8" t="s">
        <v>10</v>
      </c>
      <c r="E88" s="5" t="s">
        <v>119</v>
      </c>
      <c r="F88" s="5" t="s">
        <v>32</v>
      </c>
      <c r="G88" s="3">
        <v>26.942465753424656</v>
      </c>
      <c r="H88" s="17">
        <v>3</v>
      </c>
      <c r="I88" s="5">
        <v>26</v>
      </c>
      <c r="J88" s="5">
        <v>40</v>
      </c>
      <c r="K88" s="5">
        <v>34</v>
      </c>
      <c r="L88" s="5">
        <v>100</v>
      </c>
      <c r="M88" s="5">
        <v>0</v>
      </c>
      <c r="N88" s="5">
        <v>108</v>
      </c>
      <c r="O88">
        <v>4</v>
      </c>
      <c r="P88">
        <v>0</v>
      </c>
      <c r="Q88">
        <v>8</v>
      </c>
      <c r="R88">
        <v>51.37</v>
      </c>
    </row>
    <row r="89" spans="1:18" x14ac:dyDescent="0.45">
      <c r="A89" s="12" t="s">
        <v>95</v>
      </c>
      <c r="B89" s="12">
        <v>2018</v>
      </c>
      <c r="C89" s="16">
        <v>43450</v>
      </c>
      <c r="D89" s="12" t="s">
        <v>10</v>
      </c>
      <c r="E89" s="1" t="s">
        <v>65</v>
      </c>
      <c r="F89" s="1" t="s">
        <v>46</v>
      </c>
      <c r="G89" s="3">
        <v>20.671232876712327</v>
      </c>
      <c r="H89" s="18">
        <v>1</v>
      </c>
      <c r="I89" s="1">
        <v>36</v>
      </c>
      <c r="J89" s="1">
        <v>38</v>
      </c>
      <c r="K89" s="1">
        <v>38</v>
      </c>
      <c r="L89" s="1">
        <v>112</v>
      </c>
      <c r="M89" s="1">
        <v>0</v>
      </c>
      <c r="N89" s="1">
        <v>131</v>
      </c>
      <c r="O89">
        <v>7</v>
      </c>
      <c r="P89">
        <v>1</v>
      </c>
      <c r="Q89">
        <v>19</v>
      </c>
      <c r="R89">
        <v>52.722999999999999</v>
      </c>
    </row>
    <row r="90" spans="1:18" x14ac:dyDescent="0.45">
      <c r="A90" s="12" t="s">
        <v>95</v>
      </c>
      <c r="B90" s="12">
        <v>2018</v>
      </c>
      <c r="C90" s="16">
        <v>43450</v>
      </c>
      <c r="D90" s="12" t="s">
        <v>10</v>
      </c>
      <c r="E90" s="1" t="s">
        <v>114</v>
      </c>
      <c r="F90" s="1" t="s">
        <v>61</v>
      </c>
      <c r="G90" s="3">
        <v>25.252054794520546</v>
      </c>
      <c r="H90" s="18">
        <v>2</v>
      </c>
      <c r="I90" s="1">
        <v>30</v>
      </c>
      <c r="J90" s="1">
        <v>32</v>
      </c>
      <c r="K90" s="1">
        <v>24</v>
      </c>
      <c r="L90" s="1">
        <v>86</v>
      </c>
      <c r="M90" s="1">
        <v>20</v>
      </c>
      <c r="N90" s="1">
        <v>123</v>
      </c>
      <c r="O90">
        <v>5</v>
      </c>
      <c r="P90">
        <v>3</v>
      </c>
      <c r="Q90">
        <v>37</v>
      </c>
      <c r="R90">
        <v>52.722999999999999</v>
      </c>
    </row>
    <row r="91" spans="1:18" x14ac:dyDescent="0.45">
      <c r="A91" s="1" t="s">
        <v>95</v>
      </c>
      <c r="B91" s="18">
        <v>2018</v>
      </c>
      <c r="C91" s="11">
        <v>43450</v>
      </c>
      <c r="D91" s="18" t="s">
        <v>10</v>
      </c>
      <c r="E91" s="1" t="s">
        <v>31</v>
      </c>
      <c r="F91" s="1" t="s">
        <v>32</v>
      </c>
      <c r="G91" s="3">
        <v>29.873972602739727</v>
      </c>
      <c r="H91" s="18">
        <v>3</v>
      </c>
      <c r="I91" s="1">
        <v>40</v>
      </c>
      <c r="J91" s="1">
        <v>26</v>
      </c>
      <c r="K91" s="1">
        <v>40</v>
      </c>
      <c r="L91" s="1">
        <v>106</v>
      </c>
      <c r="M91" s="1">
        <v>0</v>
      </c>
      <c r="N91" s="1">
        <v>114</v>
      </c>
      <c r="O91">
        <v>2</v>
      </c>
      <c r="P91">
        <v>0</v>
      </c>
      <c r="Q91">
        <v>8</v>
      </c>
      <c r="R91">
        <v>52.722999999999999</v>
      </c>
    </row>
    <row r="92" spans="1:18" x14ac:dyDescent="0.45">
      <c r="A92" s="5" t="s">
        <v>71</v>
      </c>
      <c r="B92" s="17">
        <v>2018</v>
      </c>
      <c r="C92" s="19">
        <v>43436</v>
      </c>
      <c r="D92" s="17" t="s">
        <v>10</v>
      </c>
      <c r="E92" s="5" t="s">
        <v>73</v>
      </c>
      <c r="F92" s="5" t="s">
        <v>75</v>
      </c>
      <c r="G92" s="3">
        <v>22.884931506849316</v>
      </c>
      <c r="H92" s="17">
        <v>1</v>
      </c>
      <c r="I92" s="5">
        <v>32</v>
      </c>
      <c r="J92" s="5">
        <v>38</v>
      </c>
      <c r="K92" s="5">
        <v>40</v>
      </c>
      <c r="L92" s="5">
        <v>110</v>
      </c>
      <c r="M92" s="5">
        <v>0</v>
      </c>
      <c r="N92" s="5">
        <v>128</v>
      </c>
      <c r="O92">
        <v>3</v>
      </c>
      <c r="P92">
        <v>2</v>
      </c>
      <c r="Q92">
        <v>18</v>
      </c>
      <c r="R92">
        <v>52.741999999999997</v>
      </c>
    </row>
    <row r="93" spans="1:18" x14ac:dyDescent="0.45">
      <c r="A93" s="5" t="s">
        <v>71</v>
      </c>
      <c r="B93" s="17">
        <v>2018</v>
      </c>
      <c r="C93" s="19">
        <v>43436</v>
      </c>
      <c r="D93" s="17" t="s">
        <v>10</v>
      </c>
      <c r="E93" s="5" t="s">
        <v>12</v>
      </c>
      <c r="F93" s="5" t="s">
        <v>13</v>
      </c>
      <c r="G93" s="3">
        <v>28.621917808219177</v>
      </c>
      <c r="H93" s="17">
        <v>2</v>
      </c>
      <c r="I93" s="5">
        <v>38</v>
      </c>
      <c r="J93" s="5">
        <v>40</v>
      </c>
      <c r="K93" s="5">
        <v>34</v>
      </c>
      <c r="L93" s="5">
        <v>112</v>
      </c>
      <c r="M93" s="5">
        <v>0</v>
      </c>
      <c r="N93" s="5">
        <v>118</v>
      </c>
      <c r="O93">
        <v>3</v>
      </c>
      <c r="P93">
        <v>0</v>
      </c>
      <c r="Q93">
        <v>6</v>
      </c>
      <c r="R93">
        <v>52.741999999999997</v>
      </c>
    </row>
    <row r="94" spans="1:18" x14ac:dyDescent="0.45">
      <c r="A94" s="5" t="s">
        <v>71</v>
      </c>
      <c r="B94" s="17">
        <v>2018</v>
      </c>
      <c r="C94" s="19">
        <v>43436</v>
      </c>
      <c r="D94" s="17" t="s">
        <v>10</v>
      </c>
      <c r="E94" s="5" t="s">
        <v>96</v>
      </c>
      <c r="F94" s="5" t="s">
        <v>15</v>
      </c>
      <c r="G94" s="3">
        <v>24.301369863013697</v>
      </c>
      <c r="H94" s="17">
        <v>3</v>
      </c>
      <c r="I94" s="5">
        <v>40</v>
      </c>
      <c r="J94" s="5">
        <v>20</v>
      </c>
      <c r="K94" s="5">
        <v>38</v>
      </c>
      <c r="L94" s="5">
        <v>98</v>
      </c>
      <c r="M94" s="5">
        <v>0</v>
      </c>
      <c r="N94" s="5">
        <v>113</v>
      </c>
      <c r="O94">
        <v>5</v>
      </c>
      <c r="P94">
        <v>2</v>
      </c>
      <c r="Q94">
        <v>15</v>
      </c>
      <c r="R94">
        <v>52.741999999999997</v>
      </c>
    </row>
    <row r="95" spans="1:18" x14ac:dyDescent="0.45">
      <c r="A95" s="1" t="s">
        <v>33</v>
      </c>
      <c r="B95" s="1">
        <v>2018</v>
      </c>
      <c r="C95" s="2">
        <v>43398</v>
      </c>
      <c r="D95" s="1" t="s">
        <v>10</v>
      </c>
      <c r="E95" s="5" t="s">
        <v>51</v>
      </c>
      <c r="F95" s="5" t="s">
        <v>52</v>
      </c>
      <c r="H95" s="17">
        <v>1</v>
      </c>
      <c r="I95" s="5">
        <v>38</v>
      </c>
      <c r="J95" s="5">
        <v>34</v>
      </c>
      <c r="K95" s="5">
        <v>38</v>
      </c>
      <c r="L95" s="5">
        <v>110</v>
      </c>
      <c r="M95" s="5">
        <v>20</v>
      </c>
      <c r="N95" s="5">
        <v>144</v>
      </c>
      <c r="O95" s="5">
        <v>6</v>
      </c>
      <c r="P95" s="5">
        <v>1</v>
      </c>
      <c r="Q95" s="5">
        <v>34</v>
      </c>
      <c r="R95" s="5">
        <v>52.878999999999998</v>
      </c>
    </row>
    <row r="96" spans="1:18" x14ac:dyDescent="0.45">
      <c r="A96" s="1" t="s">
        <v>33</v>
      </c>
      <c r="B96" s="1">
        <v>2018</v>
      </c>
      <c r="C96" s="2">
        <v>43398</v>
      </c>
      <c r="D96" s="1" t="s">
        <v>10</v>
      </c>
      <c r="E96" s="5" t="s">
        <v>48</v>
      </c>
      <c r="F96" s="5" t="s">
        <v>46</v>
      </c>
      <c r="H96" s="17">
        <v>2</v>
      </c>
      <c r="I96" s="5">
        <v>40</v>
      </c>
      <c r="J96" s="5">
        <v>40</v>
      </c>
      <c r="K96" s="5">
        <v>34</v>
      </c>
      <c r="L96" s="5">
        <v>114</v>
      </c>
      <c r="M96" s="5">
        <v>0</v>
      </c>
      <c r="N96" s="5">
        <v>134</v>
      </c>
      <c r="O96" s="5">
        <v>5</v>
      </c>
      <c r="P96" s="5">
        <v>2</v>
      </c>
      <c r="Q96" s="5">
        <v>20</v>
      </c>
      <c r="R96" s="5">
        <v>52.878999999999998</v>
      </c>
    </row>
    <row r="97" spans="1:18" x14ac:dyDescent="0.45">
      <c r="A97" s="1" t="s">
        <v>33</v>
      </c>
      <c r="B97" s="1">
        <v>2018</v>
      </c>
      <c r="C97" s="2">
        <v>43398</v>
      </c>
      <c r="D97" s="1" t="s">
        <v>10</v>
      </c>
      <c r="E97" s="5" t="s">
        <v>39</v>
      </c>
      <c r="F97" s="5" t="s">
        <v>40</v>
      </c>
      <c r="H97" s="17">
        <v>3</v>
      </c>
      <c r="I97" s="5">
        <v>36</v>
      </c>
      <c r="J97" s="5">
        <v>36</v>
      </c>
      <c r="K97" s="5">
        <v>40</v>
      </c>
      <c r="L97" s="5">
        <v>112</v>
      </c>
      <c r="M97" s="5">
        <v>0</v>
      </c>
      <c r="N97" s="5">
        <v>132</v>
      </c>
      <c r="O97" s="5">
        <v>4</v>
      </c>
      <c r="P97" s="5">
        <v>1</v>
      </c>
      <c r="Q97" s="5">
        <v>20</v>
      </c>
      <c r="R97" s="5">
        <v>52.878999999999998</v>
      </c>
    </row>
    <row r="98" spans="1:18" x14ac:dyDescent="0.45">
      <c r="A98" s="1" t="s">
        <v>25</v>
      </c>
      <c r="B98" s="1">
        <v>2018</v>
      </c>
      <c r="C98" s="2">
        <v>43393</v>
      </c>
      <c r="D98" s="1" t="s">
        <v>10</v>
      </c>
      <c r="E98" s="5" t="s">
        <v>12</v>
      </c>
      <c r="F98" s="5" t="s">
        <v>13</v>
      </c>
      <c r="H98" s="17">
        <v>1</v>
      </c>
      <c r="I98" s="5">
        <v>38</v>
      </c>
      <c r="J98" s="5">
        <v>38</v>
      </c>
      <c r="K98" s="5">
        <v>18</v>
      </c>
      <c r="L98" s="5">
        <v>94</v>
      </c>
      <c r="M98" s="5">
        <v>60</v>
      </c>
      <c r="N98" s="5">
        <v>174</v>
      </c>
      <c r="O98" s="5">
        <v>5</v>
      </c>
      <c r="P98" s="5">
        <v>3</v>
      </c>
      <c r="Q98" s="5">
        <v>80</v>
      </c>
      <c r="R98" s="5">
        <v>53.993000000000002</v>
      </c>
    </row>
    <row r="99" spans="1:18" x14ac:dyDescent="0.45">
      <c r="A99" s="1" t="s">
        <v>25</v>
      </c>
      <c r="B99" s="1">
        <v>2018</v>
      </c>
      <c r="C99" s="2">
        <v>43393</v>
      </c>
      <c r="D99" s="1" t="s">
        <v>10</v>
      </c>
      <c r="E99" s="5" t="s">
        <v>45</v>
      </c>
      <c r="F99" s="5" t="s">
        <v>46</v>
      </c>
      <c r="H99" s="17">
        <v>2</v>
      </c>
      <c r="I99" s="5">
        <v>34</v>
      </c>
      <c r="J99" s="5">
        <v>18</v>
      </c>
      <c r="K99" s="5">
        <v>40</v>
      </c>
      <c r="L99" s="5">
        <v>92</v>
      </c>
      <c r="M99" s="5">
        <v>40</v>
      </c>
      <c r="N99" s="5">
        <v>142</v>
      </c>
      <c r="O99" s="5">
        <v>5</v>
      </c>
      <c r="P99" s="5">
        <v>0</v>
      </c>
      <c r="Q99" s="5">
        <v>50</v>
      </c>
      <c r="R99" s="5">
        <v>53.993000000000002</v>
      </c>
    </row>
    <row r="100" spans="1:18" x14ac:dyDescent="0.45">
      <c r="A100" s="1" t="s">
        <v>25</v>
      </c>
      <c r="B100" s="1">
        <v>2018</v>
      </c>
      <c r="C100" s="2">
        <v>43393</v>
      </c>
      <c r="D100" s="1" t="s">
        <v>10</v>
      </c>
      <c r="E100" s="5" t="s">
        <v>51</v>
      </c>
      <c r="F100" s="5" t="s">
        <v>52</v>
      </c>
      <c r="H100" s="17">
        <v>3</v>
      </c>
      <c r="I100" s="5">
        <v>30</v>
      </c>
      <c r="J100" s="5">
        <v>24</v>
      </c>
      <c r="K100" s="5">
        <v>32</v>
      </c>
      <c r="L100" s="5">
        <v>86</v>
      </c>
      <c r="M100" s="5">
        <v>40</v>
      </c>
      <c r="N100" s="5">
        <v>139</v>
      </c>
      <c r="O100" s="5">
        <v>5</v>
      </c>
      <c r="P100" s="5">
        <v>1</v>
      </c>
      <c r="Q100" s="5">
        <v>53</v>
      </c>
      <c r="R100" s="5">
        <v>53.993000000000002</v>
      </c>
    </row>
    <row r="101" spans="1:18" x14ac:dyDescent="0.45">
      <c r="A101" s="1" t="s">
        <v>109</v>
      </c>
      <c r="B101" s="1">
        <v>2018</v>
      </c>
      <c r="C101" s="2">
        <v>43162</v>
      </c>
      <c r="D101" s="1" t="s">
        <v>10</v>
      </c>
      <c r="E101" s="5" t="s">
        <v>142</v>
      </c>
      <c r="F101" s="5" t="s">
        <v>128</v>
      </c>
      <c r="H101" s="17">
        <v>1</v>
      </c>
      <c r="I101" s="5">
        <v>20</v>
      </c>
      <c r="J101" s="5">
        <v>38</v>
      </c>
      <c r="K101" s="5">
        <v>40</v>
      </c>
      <c r="L101" s="5">
        <v>98</v>
      </c>
      <c r="M101" s="5">
        <v>0</v>
      </c>
      <c r="N101" s="5">
        <v>121</v>
      </c>
      <c r="O101" s="5">
        <v>5</v>
      </c>
      <c r="P101" s="5">
        <v>0</v>
      </c>
      <c r="Q101">
        <f>N101-L101</f>
        <v>23</v>
      </c>
      <c r="R101" s="5">
        <v>54.491</v>
      </c>
    </row>
    <row r="102" spans="1:18" x14ac:dyDescent="0.45">
      <c r="A102" s="1" t="s">
        <v>109</v>
      </c>
      <c r="B102" s="1">
        <v>2018</v>
      </c>
      <c r="C102" s="2">
        <v>43162</v>
      </c>
      <c r="D102" s="1" t="s">
        <v>10</v>
      </c>
      <c r="E102" s="5" t="s">
        <v>96</v>
      </c>
      <c r="F102" s="5" t="s">
        <v>15</v>
      </c>
      <c r="H102" s="17">
        <v>2</v>
      </c>
      <c r="I102" s="5">
        <v>40</v>
      </c>
      <c r="J102" s="5">
        <v>14</v>
      </c>
      <c r="K102" s="5">
        <v>38</v>
      </c>
      <c r="L102" s="5">
        <v>92</v>
      </c>
      <c r="M102" s="5">
        <v>0</v>
      </c>
      <c r="N102" s="5">
        <v>117</v>
      </c>
      <c r="O102" s="5">
        <v>5</v>
      </c>
      <c r="P102" s="5">
        <v>1</v>
      </c>
      <c r="Q102">
        <f>N102-L102</f>
        <v>25</v>
      </c>
      <c r="R102" s="5">
        <v>54.491</v>
      </c>
    </row>
    <row r="103" spans="1:18" x14ac:dyDescent="0.45">
      <c r="A103" s="1" t="s">
        <v>109</v>
      </c>
      <c r="B103" s="1">
        <v>2018</v>
      </c>
      <c r="C103" s="2">
        <v>43162</v>
      </c>
      <c r="D103" s="1" t="s">
        <v>10</v>
      </c>
      <c r="E103" s="5" t="s">
        <v>30</v>
      </c>
      <c r="F103" s="5" t="s">
        <v>32</v>
      </c>
      <c r="H103" s="17">
        <v>3</v>
      </c>
      <c r="I103" s="5">
        <v>30</v>
      </c>
      <c r="J103" s="5">
        <v>32</v>
      </c>
      <c r="K103" s="5">
        <v>36</v>
      </c>
      <c r="L103" s="5">
        <v>98</v>
      </c>
      <c r="M103" s="5">
        <v>0</v>
      </c>
      <c r="N103" s="5">
        <v>104</v>
      </c>
      <c r="O103" s="5">
        <v>3</v>
      </c>
      <c r="P103" s="5">
        <v>0</v>
      </c>
      <c r="Q103">
        <f>N103-L103</f>
        <v>6</v>
      </c>
      <c r="R103" s="5">
        <v>54.491</v>
      </c>
    </row>
    <row r="104" spans="1:18" x14ac:dyDescent="0.45">
      <c r="A104" s="1" t="s">
        <v>77</v>
      </c>
      <c r="B104" s="1">
        <v>2018</v>
      </c>
      <c r="C104" s="2">
        <v>43119</v>
      </c>
      <c r="D104" s="1" t="s">
        <v>10</v>
      </c>
      <c r="E104" s="5" t="s">
        <v>96</v>
      </c>
      <c r="F104" s="5" t="s">
        <v>15</v>
      </c>
      <c r="H104" s="17">
        <v>1</v>
      </c>
      <c r="I104" s="5">
        <v>40</v>
      </c>
      <c r="J104" s="5">
        <v>40</v>
      </c>
      <c r="K104" s="5">
        <v>36</v>
      </c>
      <c r="L104" s="5">
        <v>116</v>
      </c>
      <c r="M104" s="5">
        <v>0</v>
      </c>
      <c r="N104" s="5">
        <v>134</v>
      </c>
      <c r="O104" s="5">
        <v>5</v>
      </c>
      <c r="P104" s="5">
        <v>3</v>
      </c>
      <c r="Q104">
        <f t="shared" ref="Q104:Q127" si="1">N104-L104</f>
        <v>18</v>
      </c>
      <c r="R104" s="5">
        <v>51.802999999999997</v>
      </c>
    </row>
    <row r="105" spans="1:18" x14ac:dyDescent="0.45">
      <c r="A105" s="1" t="s">
        <v>77</v>
      </c>
      <c r="B105" s="1">
        <v>2018</v>
      </c>
      <c r="C105" s="2">
        <v>43119</v>
      </c>
      <c r="D105" s="1" t="s">
        <v>10</v>
      </c>
      <c r="E105" s="5" t="s">
        <v>142</v>
      </c>
      <c r="F105" s="5" t="s">
        <v>128</v>
      </c>
      <c r="H105" s="17">
        <v>2</v>
      </c>
      <c r="I105" s="5">
        <v>38</v>
      </c>
      <c r="J105" s="5">
        <v>38</v>
      </c>
      <c r="K105" s="5">
        <v>40</v>
      </c>
      <c r="L105" s="5">
        <v>116</v>
      </c>
      <c r="M105" s="5">
        <v>0</v>
      </c>
      <c r="N105" s="5">
        <v>129</v>
      </c>
      <c r="O105" s="5">
        <v>6</v>
      </c>
      <c r="P105" s="5">
        <v>0</v>
      </c>
      <c r="Q105">
        <f t="shared" si="1"/>
        <v>13</v>
      </c>
      <c r="R105" s="5">
        <v>51.802999999999997</v>
      </c>
    </row>
    <row r="106" spans="1:18" x14ac:dyDescent="0.45">
      <c r="A106" s="1" t="s">
        <v>77</v>
      </c>
      <c r="B106" s="1">
        <v>2018</v>
      </c>
      <c r="C106" s="2">
        <v>43119</v>
      </c>
      <c r="D106" s="1" t="s">
        <v>10</v>
      </c>
      <c r="E106" s="5" t="s">
        <v>144</v>
      </c>
      <c r="F106" s="5" t="s">
        <v>145</v>
      </c>
      <c r="H106" s="17">
        <v>3</v>
      </c>
      <c r="I106" s="5">
        <v>32</v>
      </c>
      <c r="J106" s="5">
        <v>34</v>
      </c>
      <c r="K106" s="5">
        <v>28</v>
      </c>
      <c r="L106" s="5">
        <v>94</v>
      </c>
      <c r="M106" s="5">
        <v>0</v>
      </c>
      <c r="N106" s="5">
        <v>110</v>
      </c>
      <c r="O106" s="5">
        <v>5</v>
      </c>
      <c r="P106" s="5">
        <v>1</v>
      </c>
      <c r="Q106">
        <f t="shared" si="1"/>
        <v>16</v>
      </c>
      <c r="R106" s="5">
        <v>51.802999999999997</v>
      </c>
    </row>
    <row r="107" spans="1:18" x14ac:dyDescent="0.45">
      <c r="A107" s="1" t="s">
        <v>146</v>
      </c>
      <c r="B107" s="1">
        <v>2017</v>
      </c>
      <c r="C107" s="2">
        <v>43077</v>
      </c>
      <c r="D107" s="1" t="s">
        <v>10</v>
      </c>
      <c r="E107" s="5" t="s">
        <v>148</v>
      </c>
      <c r="F107" s="5" t="s">
        <v>98</v>
      </c>
      <c r="H107" s="17">
        <v>1</v>
      </c>
      <c r="I107" s="5">
        <v>36</v>
      </c>
      <c r="J107" s="5">
        <v>40</v>
      </c>
      <c r="K107" s="5">
        <v>36</v>
      </c>
      <c r="L107" s="5">
        <v>112</v>
      </c>
      <c r="M107" s="5">
        <v>20</v>
      </c>
      <c r="N107" s="5">
        <v>146</v>
      </c>
      <c r="O107" s="5">
        <v>5</v>
      </c>
      <c r="P107" s="5">
        <v>0</v>
      </c>
      <c r="Q107">
        <f t="shared" si="1"/>
        <v>34</v>
      </c>
      <c r="R107" s="5">
        <v>51.274000000000001</v>
      </c>
    </row>
    <row r="108" spans="1:18" x14ac:dyDescent="0.45">
      <c r="A108" s="1" t="s">
        <v>146</v>
      </c>
      <c r="B108" s="1">
        <v>2017</v>
      </c>
      <c r="C108" s="2">
        <v>43077</v>
      </c>
      <c r="D108" s="1" t="s">
        <v>10</v>
      </c>
      <c r="E108" s="5" t="s">
        <v>41</v>
      </c>
      <c r="F108" s="5" t="s">
        <v>43</v>
      </c>
      <c r="H108" s="17">
        <v>2</v>
      </c>
      <c r="I108" s="5">
        <v>38</v>
      </c>
      <c r="J108" s="5">
        <v>38</v>
      </c>
      <c r="K108" s="5">
        <v>38</v>
      </c>
      <c r="L108" s="5">
        <v>114</v>
      </c>
      <c r="M108" s="5">
        <v>20</v>
      </c>
      <c r="N108" s="5">
        <v>143</v>
      </c>
      <c r="O108" s="5">
        <v>3</v>
      </c>
      <c r="P108" s="5">
        <v>1</v>
      </c>
      <c r="Q108">
        <f t="shared" si="1"/>
        <v>29</v>
      </c>
      <c r="R108" s="5">
        <v>51.274000000000001</v>
      </c>
    </row>
    <row r="109" spans="1:18" x14ac:dyDescent="0.45">
      <c r="A109" s="1" t="s">
        <v>146</v>
      </c>
      <c r="B109" s="1">
        <v>2017</v>
      </c>
      <c r="C109" s="2">
        <v>43077</v>
      </c>
      <c r="D109" s="1" t="s">
        <v>10</v>
      </c>
      <c r="E109" s="5" t="s">
        <v>151</v>
      </c>
      <c r="F109" s="5" t="s">
        <v>152</v>
      </c>
      <c r="H109" s="17">
        <v>3</v>
      </c>
      <c r="I109" s="5">
        <v>28</v>
      </c>
      <c r="J109" s="5">
        <v>30</v>
      </c>
      <c r="K109" s="5">
        <v>40</v>
      </c>
      <c r="L109" s="5">
        <v>98</v>
      </c>
      <c r="M109" s="5">
        <v>20</v>
      </c>
      <c r="N109" s="5">
        <v>128</v>
      </c>
      <c r="O109" s="5">
        <v>4</v>
      </c>
      <c r="P109" s="5">
        <v>1</v>
      </c>
      <c r="Q109">
        <f t="shared" si="1"/>
        <v>30</v>
      </c>
      <c r="R109" s="5">
        <v>51.274000000000001</v>
      </c>
    </row>
    <row r="110" spans="1:18" x14ac:dyDescent="0.45">
      <c r="A110" s="1" t="s">
        <v>33</v>
      </c>
      <c r="B110" s="1">
        <v>2017</v>
      </c>
      <c r="C110" s="2">
        <v>43070</v>
      </c>
      <c r="D110" s="1" t="s">
        <v>10</v>
      </c>
      <c r="E110" s="5" t="s">
        <v>23</v>
      </c>
      <c r="F110" s="5" t="s">
        <v>24</v>
      </c>
      <c r="H110" s="17">
        <v>1</v>
      </c>
      <c r="I110" s="5">
        <v>32</v>
      </c>
      <c r="J110" s="5">
        <v>30</v>
      </c>
      <c r="K110" s="5">
        <v>40</v>
      </c>
      <c r="L110" s="5">
        <v>102</v>
      </c>
      <c r="M110" s="5">
        <v>20</v>
      </c>
      <c r="N110" s="5">
        <v>132</v>
      </c>
      <c r="O110" s="5">
        <v>3</v>
      </c>
      <c r="P110" s="5">
        <v>1</v>
      </c>
      <c r="Q110">
        <f t="shared" si="1"/>
        <v>30</v>
      </c>
      <c r="R110" s="5">
        <v>52.695999999999998</v>
      </c>
    </row>
    <row r="111" spans="1:18" x14ac:dyDescent="0.45">
      <c r="A111" s="1" t="s">
        <v>33</v>
      </c>
      <c r="B111" s="1">
        <v>2017</v>
      </c>
      <c r="C111" s="2">
        <v>43070</v>
      </c>
      <c r="D111" s="1" t="s">
        <v>10</v>
      </c>
      <c r="E111" s="5" t="s">
        <v>45</v>
      </c>
      <c r="F111" s="5" t="s">
        <v>46</v>
      </c>
      <c r="H111" s="17">
        <v>2</v>
      </c>
      <c r="I111" s="5">
        <v>38</v>
      </c>
      <c r="J111" s="5">
        <v>36</v>
      </c>
      <c r="K111" s="5">
        <v>34</v>
      </c>
      <c r="L111" s="5">
        <v>108</v>
      </c>
      <c r="M111" s="5">
        <v>0</v>
      </c>
      <c r="N111" s="5">
        <v>120</v>
      </c>
      <c r="O111" s="5">
        <v>3</v>
      </c>
      <c r="P111" s="5">
        <v>2</v>
      </c>
      <c r="Q111">
        <f t="shared" si="1"/>
        <v>12</v>
      </c>
      <c r="R111" s="5">
        <v>52.695999999999998</v>
      </c>
    </row>
    <row r="112" spans="1:18" x14ac:dyDescent="0.45">
      <c r="A112" s="1" t="s">
        <v>33</v>
      </c>
      <c r="B112" s="1">
        <v>2017</v>
      </c>
      <c r="C112" s="2">
        <v>43070</v>
      </c>
      <c r="D112" s="1" t="s">
        <v>10</v>
      </c>
      <c r="E112" s="5" t="s">
        <v>153</v>
      </c>
      <c r="F112" s="5" t="s">
        <v>121</v>
      </c>
      <c r="H112" s="17">
        <v>3</v>
      </c>
      <c r="I112" s="5">
        <v>36</v>
      </c>
      <c r="J112" s="5">
        <v>40</v>
      </c>
      <c r="K112" s="5">
        <v>36</v>
      </c>
      <c r="L112" s="5">
        <v>112</v>
      </c>
      <c r="M112" s="5">
        <v>0</v>
      </c>
      <c r="N112" s="5">
        <v>112</v>
      </c>
      <c r="O112" s="5">
        <v>0</v>
      </c>
      <c r="P112" s="5">
        <v>0</v>
      </c>
      <c r="Q112">
        <f t="shared" si="1"/>
        <v>0</v>
      </c>
      <c r="R112" s="5">
        <v>52.695999999999998</v>
      </c>
    </row>
    <row r="113" spans="1:18" x14ac:dyDescent="0.45">
      <c r="A113" s="1" t="s">
        <v>154</v>
      </c>
      <c r="B113" s="1">
        <v>2017</v>
      </c>
      <c r="C113" s="2">
        <v>43049</v>
      </c>
      <c r="D113" s="1" t="s">
        <v>10</v>
      </c>
      <c r="E113" s="5" t="s">
        <v>51</v>
      </c>
      <c r="F113" s="5" t="s">
        <v>52</v>
      </c>
      <c r="H113" s="17">
        <v>1</v>
      </c>
      <c r="I113" s="5">
        <v>38</v>
      </c>
      <c r="J113" s="5">
        <v>40</v>
      </c>
      <c r="K113" s="5">
        <v>38</v>
      </c>
      <c r="L113" s="5">
        <v>116</v>
      </c>
      <c r="M113" s="5">
        <v>20</v>
      </c>
      <c r="N113" s="5">
        <v>151</v>
      </c>
      <c r="O113" s="5">
        <v>6</v>
      </c>
      <c r="P113" s="5">
        <v>1</v>
      </c>
      <c r="Q113">
        <f t="shared" si="1"/>
        <v>35</v>
      </c>
      <c r="R113" s="5">
        <v>54.171999999999997</v>
      </c>
    </row>
    <row r="114" spans="1:18" x14ac:dyDescent="0.45">
      <c r="A114" s="1" t="s">
        <v>154</v>
      </c>
      <c r="B114" s="1">
        <v>2017</v>
      </c>
      <c r="C114" s="2">
        <v>43049</v>
      </c>
      <c r="D114" s="1" t="s">
        <v>10</v>
      </c>
      <c r="E114" s="5" t="s">
        <v>23</v>
      </c>
      <c r="F114" s="5" t="s">
        <v>24</v>
      </c>
      <c r="H114" s="17">
        <v>2</v>
      </c>
      <c r="I114" s="5">
        <v>32</v>
      </c>
      <c r="J114" s="5">
        <v>38</v>
      </c>
      <c r="K114" s="5">
        <v>40</v>
      </c>
      <c r="L114" s="5">
        <v>110</v>
      </c>
      <c r="M114" s="5">
        <v>20</v>
      </c>
      <c r="N114" s="5">
        <v>140</v>
      </c>
      <c r="O114" s="5">
        <v>5</v>
      </c>
      <c r="P114" s="5">
        <v>0</v>
      </c>
      <c r="Q114">
        <f t="shared" si="1"/>
        <v>30</v>
      </c>
      <c r="R114" s="5">
        <v>54.171999999999997</v>
      </c>
    </row>
    <row r="115" spans="1:18" x14ac:dyDescent="0.45">
      <c r="A115" s="1" t="s">
        <v>154</v>
      </c>
      <c r="B115" s="1">
        <v>2017</v>
      </c>
      <c r="C115" s="2">
        <v>43049</v>
      </c>
      <c r="D115" s="1" t="s">
        <v>10</v>
      </c>
      <c r="E115" s="5" t="s">
        <v>12</v>
      </c>
      <c r="F115" s="5" t="s">
        <v>13</v>
      </c>
      <c r="H115" s="17">
        <v>3</v>
      </c>
      <c r="I115" s="5">
        <v>34</v>
      </c>
      <c r="J115" s="5">
        <v>34</v>
      </c>
      <c r="K115" s="5">
        <v>32</v>
      </c>
      <c r="L115" s="5">
        <v>100</v>
      </c>
      <c r="M115" s="5">
        <v>20</v>
      </c>
      <c r="N115" s="5">
        <v>125</v>
      </c>
      <c r="O115" s="5">
        <v>1</v>
      </c>
      <c r="P115" s="5">
        <v>1</v>
      </c>
      <c r="Q115">
        <f t="shared" si="1"/>
        <v>25</v>
      </c>
      <c r="R115" s="5">
        <v>54.171999999999997</v>
      </c>
    </row>
    <row r="116" spans="1:18" x14ac:dyDescent="0.45">
      <c r="A116" s="1" t="s">
        <v>78</v>
      </c>
      <c r="B116" s="1">
        <v>2017</v>
      </c>
      <c r="C116" s="2">
        <v>43042</v>
      </c>
      <c r="D116" s="1" t="s">
        <v>10</v>
      </c>
      <c r="E116" s="5" t="s">
        <v>23</v>
      </c>
      <c r="F116" s="5" t="s">
        <v>24</v>
      </c>
      <c r="H116" s="17">
        <v>1</v>
      </c>
      <c r="I116" s="5">
        <v>38</v>
      </c>
      <c r="J116" s="5">
        <v>38</v>
      </c>
      <c r="K116" s="5">
        <v>40</v>
      </c>
      <c r="L116" s="5">
        <v>116</v>
      </c>
      <c r="M116" s="5">
        <v>60</v>
      </c>
      <c r="N116" s="5">
        <v>191</v>
      </c>
      <c r="O116" s="5">
        <v>5</v>
      </c>
      <c r="P116" s="5">
        <v>2</v>
      </c>
      <c r="Q116">
        <f t="shared" si="1"/>
        <v>75</v>
      </c>
      <c r="R116" s="5">
        <v>52.085000000000001</v>
      </c>
    </row>
    <row r="117" spans="1:18" x14ac:dyDescent="0.45">
      <c r="A117" s="1" t="s">
        <v>78</v>
      </c>
      <c r="B117" s="1">
        <v>2017</v>
      </c>
      <c r="C117" s="2">
        <v>43042</v>
      </c>
      <c r="D117" s="1" t="s">
        <v>10</v>
      </c>
      <c r="E117" s="5" t="s">
        <v>142</v>
      </c>
      <c r="F117" s="5" t="s">
        <v>128</v>
      </c>
      <c r="H117" s="17">
        <v>2</v>
      </c>
      <c r="I117" s="5">
        <v>20</v>
      </c>
      <c r="J117" s="5">
        <v>40</v>
      </c>
      <c r="K117" s="5">
        <v>38</v>
      </c>
      <c r="L117" s="5">
        <v>98</v>
      </c>
      <c r="M117" s="5">
        <v>40</v>
      </c>
      <c r="N117" s="5">
        <v>149</v>
      </c>
      <c r="O117" s="5">
        <v>4</v>
      </c>
      <c r="P117" s="5">
        <v>1</v>
      </c>
      <c r="Q117">
        <f t="shared" si="1"/>
        <v>51</v>
      </c>
      <c r="R117" s="5">
        <v>52.085000000000001</v>
      </c>
    </row>
    <row r="118" spans="1:18" x14ac:dyDescent="0.45">
      <c r="A118" s="1" t="s">
        <v>78</v>
      </c>
      <c r="B118" s="1">
        <v>2017</v>
      </c>
      <c r="C118" s="2">
        <v>43042</v>
      </c>
      <c r="D118" s="1" t="s">
        <v>10</v>
      </c>
      <c r="E118" s="5" t="s">
        <v>120</v>
      </c>
      <c r="F118" s="5" t="s">
        <v>121</v>
      </c>
      <c r="H118" s="17">
        <v>3</v>
      </c>
      <c r="I118" s="5">
        <v>40</v>
      </c>
      <c r="J118" s="5">
        <v>34</v>
      </c>
      <c r="K118" s="5">
        <v>32</v>
      </c>
      <c r="L118" s="5">
        <v>106</v>
      </c>
      <c r="M118" s="5">
        <v>40</v>
      </c>
      <c r="N118" s="5">
        <v>147</v>
      </c>
      <c r="O118" s="5">
        <v>1</v>
      </c>
      <c r="P118" s="5">
        <v>0</v>
      </c>
      <c r="Q118">
        <f t="shared" si="1"/>
        <v>41</v>
      </c>
      <c r="R118" s="5">
        <v>52.085000000000001</v>
      </c>
    </row>
    <row r="119" spans="1:18" x14ac:dyDescent="0.45">
      <c r="A119" s="1" t="s">
        <v>37</v>
      </c>
      <c r="B119" s="1">
        <v>2017</v>
      </c>
      <c r="C119" s="2">
        <v>42867</v>
      </c>
      <c r="D119" s="1" t="s">
        <v>18</v>
      </c>
      <c r="E119" s="5" t="s">
        <v>51</v>
      </c>
      <c r="F119" s="5" t="s">
        <v>52</v>
      </c>
      <c r="H119" s="17">
        <v>1</v>
      </c>
      <c r="I119" s="5">
        <v>38</v>
      </c>
      <c r="J119" s="5">
        <v>30</v>
      </c>
      <c r="K119" s="5">
        <v>36</v>
      </c>
      <c r="L119" s="5">
        <v>104</v>
      </c>
      <c r="M119" s="5">
        <v>20</v>
      </c>
      <c r="N119" s="5">
        <v>149</v>
      </c>
      <c r="O119" s="5">
        <v>8</v>
      </c>
      <c r="P119" s="5">
        <v>2</v>
      </c>
      <c r="Q119">
        <f t="shared" si="1"/>
        <v>45</v>
      </c>
      <c r="R119" s="5">
        <v>52.703000000000003</v>
      </c>
    </row>
    <row r="120" spans="1:18" x14ac:dyDescent="0.45">
      <c r="A120" s="1" t="s">
        <v>37</v>
      </c>
      <c r="B120" s="1">
        <v>2017</v>
      </c>
      <c r="C120" s="2">
        <v>42867</v>
      </c>
      <c r="D120" s="1" t="s">
        <v>18</v>
      </c>
      <c r="E120" s="5" t="s">
        <v>38</v>
      </c>
      <c r="F120" s="5" t="s">
        <v>40</v>
      </c>
      <c r="H120" s="17">
        <v>2</v>
      </c>
      <c r="I120" s="5">
        <v>30</v>
      </c>
      <c r="J120" s="5">
        <v>40</v>
      </c>
      <c r="K120" s="5">
        <v>22</v>
      </c>
      <c r="L120" s="5">
        <v>92</v>
      </c>
      <c r="M120" s="5">
        <v>40</v>
      </c>
      <c r="N120" s="5">
        <v>147</v>
      </c>
      <c r="O120" s="5">
        <v>7</v>
      </c>
      <c r="P120" s="5">
        <v>1</v>
      </c>
      <c r="Q120">
        <f t="shared" si="1"/>
        <v>55</v>
      </c>
      <c r="R120" s="5">
        <v>52.703000000000003</v>
      </c>
    </row>
    <row r="121" spans="1:18" x14ac:dyDescent="0.45">
      <c r="A121" s="1" t="s">
        <v>37</v>
      </c>
      <c r="B121" s="1">
        <v>2017</v>
      </c>
      <c r="C121" s="2">
        <v>42867</v>
      </c>
      <c r="D121" s="1" t="s">
        <v>18</v>
      </c>
      <c r="E121" s="5" t="s">
        <v>12</v>
      </c>
      <c r="F121" s="5" t="s">
        <v>13</v>
      </c>
      <c r="H121" s="17">
        <v>3</v>
      </c>
      <c r="I121" s="5">
        <v>40</v>
      </c>
      <c r="J121" s="5">
        <v>38</v>
      </c>
      <c r="K121" s="5">
        <v>34</v>
      </c>
      <c r="L121" s="5">
        <v>112</v>
      </c>
      <c r="M121" s="5">
        <v>20</v>
      </c>
      <c r="N121" s="5">
        <v>138</v>
      </c>
      <c r="O121" s="5">
        <v>2</v>
      </c>
      <c r="P121" s="5">
        <v>1</v>
      </c>
      <c r="Q121">
        <f t="shared" si="1"/>
        <v>26</v>
      </c>
      <c r="R121" s="5">
        <v>52.703000000000003</v>
      </c>
    </row>
    <row r="122" spans="1:18" x14ac:dyDescent="0.45">
      <c r="A122" s="1" t="s">
        <v>155</v>
      </c>
      <c r="B122" s="1">
        <v>2017</v>
      </c>
      <c r="C122" s="2">
        <v>42790</v>
      </c>
      <c r="D122" s="1" t="s">
        <v>10</v>
      </c>
      <c r="E122" s="5" t="s">
        <v>142</v>
      </c>
      <c r="F122" s="5" t="s">
        <v>128</v>
      </c>
      <c r="H122" s="17">
        <v>1</v>
      </c>
      <c r="I122" s="5">
        <v>22</v>
      </c>
      <c r="J122" s="5">
        <v>40</v>
      </c>
      <c r="K122" s="5">
        <v>40</v>
      </c>
      <c r="L122" s="5">
        <v>102</v>
      </c>
      <c r="M122" s="5">
        <v>0</v>
      </c>
      <c r="N122" s="5">
        <v>121</v>
      </c>
      <c r="O122" s="5">
        <v>5</v>
      </c>
      <c r="P122" s="5">
        <v>1</v>
      </c>
      <c r="Q122">
        <f t="shared" si="1"/>
        <v>19</v>
      </c>
      <c r="R122" s="5">
        <v>50.832999999999998</v>
      </c>
    </row>
    <row r="123" spans="1:18" x14ac:dyDescent="0.45">
      <c r="A123" s="1" t="s">
        <v>155</v>
      </c>
      <c r="B123" s="1">
        <v>2017</v>
      </c>
      <c r="C123" s="2">
        <v>42790</v>
      </c>
      <c r="D123" s="1" t="s">
        <v>10</v>
      </c>
      <c r="E123" s="5" t="s">
        <v>39</v>
      </c>
      <c r="F123" s="5" t="s">
        <v>40</v>
      </c>
      <c r="H123" s="17">
        <v>2</v>
      </c>
      <c r="I123" s="5">
        <v>24</v>
      </c>
      <c r="J123" s="5">
        <v>22</v>
      </c>
      <c r="K123" s="5">
        <v>34</v>
      </c>
      <c r="L123" s="5">
        <v>80</v>
      </c>
      <c r="M123" s="5">
        <v>20</v>
      </c>
      <c r="N123" s="5">
        <v>115</v>
      </c>
      <c r="O123" s="5">
        <v>3</v>
      </c>
      <c r="P123" s="5">
        <v>1</v>
      </c>
      <c r="Q123">
        <f t="shared" si="1"/>
        <v>35</v>
      </c>
      <c r="R123" s="5">
        <v>50.832999999999998</v>
      </c>
    </row>
    <row r="124" spans="1:18" x14ac:dyDescent="0.45">
      <c r="A124" s="1" t="s">
        <v>155</v>
      </c>
      <c r="B124" s="1">
        <v>2017</v>
      </c>
      <c r="C124" s="2">
        <v>42790</v>
      </c>
      <c r="D124" s="1" t="s">
        <v>10</v>
      </c>
      <c r="E124" s="5" t="s">
        <v>156</v>
      </c>
      <c r="F124" s="5" t="s">
        <v>157</v>
      </c>
      <c r="H124" s="17">
        <v>3</v>
      </c>
      <c r="I124" s="5">
        <v>40</v>
      </c>
      <c r="J124" s="5">
        <v>32</v>
      </c>
      <c r="K124" s="5">
        <v>16</v>
      </c>
      <c r="L124" s="5">
        <v>88</v>
      </c>
      <c r="M124" s="5">
        <v>20</v>
      </c>
      <c r="N124" s="5">
        <v>115</v>
      </c>
      <c r="O124" s="5">
        <v>2</v>
      </c>
      <c r="P124" s="5">
        <v>1</v>
      </c>
      <c r="Q124">
        <f t="shared" si="1"/>
        <v>27</v>
      </c>
      <c r="R124" s="5">
        <v>50.832999999999998</v>
      </c>
    </row>
    <row r="125" spans="1:18" x14ac:dyDescent="0.45">
      <c r="A125" s="1" t="s">
        <v>58</v>
      </c>
      <c r="B125" s="1">
        <v>2017</v>
      </c>
      <c r="C125" s="2">
        <v>42783</v>
      </c>
      <c r="D125" s="1" t="s">
        <v>10</v>
      </c>
      <c r="E125" s="5" t="s">
        <v>73</v>
      </c>
      <c r="F125" s="5" t="s">
        <v>75</v>
      </c>
      <c r="H125" s="17">
        <v>1</v>
      </c>
      <c r="I125" s="5">
        <v>40</v>
      </c>
      <c r="J125" s="5">
        <v>34</v>
      </c>
      <c r="K125" s="5">
        <v>40</v>
      </c>
      <c r="L125" s="5">
        <v>114</v>
      </c>
      <c r="M125" s="5">
        <v>0</v>
      </c>
      <c r="N125" s="5">
        <v>128</v>
      </c>
      <c r="O125" s="5">
        <v>4</v>
      </c>
      <c r="P125" s="5">
        <v>2</v>
      </c>
      <c r="Q125">
        <f t="shared" si="1"/>
        <v>14</v>
      </c>
      <c r="R125" s="5">
        <v>51.021999999999998</v>
      </c>
    </row>
    <row r="126" spans="1:18" x14ac:dyDescent="0.45">
      <c r="A126" s="1" t="s">
        <v>58</v>
      </c>
      <c r="B126" s="1">
        <v>2017</v>
      </c>
      <c r="C126" s="2">
        <v>42783</v>
      </c>
      <c r="D126" s="1" t="s">
        <v>10</v>
      </c>
      <c r="E126" s="5" t="s">
        <v>135</v>
      </c>
      <c r="F126" s="5" t="s">
        <v>16</v>
      </c>
      <c r="H126" s="17">
        <v>2</v>
      </c>
      <c r="I126" s="5">
        <v>26</v>
      </c>
      <c r="J126" s="5">
        <v>40</v>
      </c>
      <c r="K126" s="5">
        <v>30</v>
      </c>
      <c r="L126" s="5">
        <v>96</v>
      </c>
      <c r="M126" s="5">
        <v>0</v>
      </c>
      <c r="N126" s="5">
        <v>107</v>
      </c>
      <c r="O126" s="5">
        <v>5</v>
      </c>
      <c r="P126" s="5">
        <v>0</v>
      </c>
      <c r="Q126">
        <f t="shared" si="1"/>
        <v>11</v>
      </c>
      <c r="R126" s="5">
        <v>51.021999999999998</v>
      </c>
    </row>
    <row r="127" spans="1:18" x14ac:dyDescent="0.45">
      <c r="A127" s="1" t="s">
        <v>58</v>
      </c>
      <c r="B127" s="1">
        <v>2017</v>
      </c>
      <c r="C127" s="2">
        <v>42783</v>
      </c>
      <c r="D127" s="1" t="s">
        <v>10</v>
      </c>
      <c r="E127" s="5" t="s">
        <v>160</v>
      </c>
      <c r="F127" s="5" t="s">
        <v>24</v>
      </c>
      <c r="H127" s="17">
        <v>3</v>
      </c>
      <c r="I127" s="5">
        <v>34</v>
      </c>
      <c r="J127" s="5">
        <v>30</v>
      </c>
      <c r="K127" s="5">
        <v>34</v>
      </c>
      <c r="L127" s="5">
        <v>98</v>
      </c>
      <c r="M127" s="5">
        <v>0</v>
      </c>
      <c r="N127" s="5">
        <v>104</v>
      </c>
      <c r="O127" s="5">
        <v>2</v>
      </c>
      <c r="P127" s="5">
        <v>1</v>
      </c>
      <c r="Q127">
        <f t="shared" si="1"/>
        <v>6</v>
      </c>
      <c r="R127" s="5">
        <v>51.021999999999998</v>
      </c>
    </row>
  </sheetData>
  <conditionalFormatting sqref="A44:B52 D44:D52">
    <cfRule type="expression" dxfId="29" priority="37">
      <formula>$E44="F"</formula>
    </cfRule>
    <cfRule type="expression" dxfId="28" priority="38">
      <formula>$E44="Q"</formula>
    </cfRule>
  </conditionalFormatting>
  <conditionalFormatting sqref="A53:B55">
    <cfRule type="expression" dxfId="27" priority="31">
      <formula>#REF!="F"</formula>
    </cfRule>
    <cfRule type="expression" dxfId="26" priority="32">
      <formula>#REF!="Q"</formula>
    </cfRule>
  </conditionalFormatting>
  <conditionalFormatting sqref="A94:B94">
    <cfRule type="expression" dxfId="25" priority="3">
      <formula>$E94="F"</formula>
    </cfRule>
    <cfRule type="expression" dxfId="24" priority="4">
      <formula>$E94="Q"</formula>
    </cfRule>
  </conditionalFormatting>
  <conditionalFormatting sqref="A41:D43">
    <cfRule type="expression" dxfId="23" priority="45">
      <formula>$E41="F"</formula>
    </cfRule>
    <cfRule type="expression" dxfId="22" priority="46">
      <formula>$E41="Q"</formula>
    </cfRule>
  </conditionalFormatting>
  <conditionalFormatting sqref="A62:D64">
    <cfRule type="expression" dxfId="21" priority="28">
      <formula>$E62="R1"</formula>
    </cfRule>
    <cfRule type="expression" dxfId="20" priority="29">
      <formula>$E62="F"</formula>
    </cfRule>
    <cfRule type="expression" dxfId="19" priority="30">
      <formula>$E62="Q"</formula>
    </cfRule>
  </conditionalFormatting>
  <conditionalFormatting sqref="A91:D93">
    <cfRule type="expression" dxfId="18" priority="5">
      <formula>$E91="F"</formula>
    </cfRule>
    <cfRule type="expression" dxfId="17" priority="6">
      <formula>$E91="Q"</formula>
    </cfRule>
  </conditionalFormatting>
  <conditionalFormatting sqref="D53:D55">
    <cfRule type="expression" dxfId="16" priority="35">
      <formula>#REF!="F"</formula>
    </cfRule>
    <cfRule type="expression" dxfId="15" priority="36">
      <formula>#REF!="Q"</formula>
    </cfRule>
  </conditionalFormatting>
  <conditionalFormatting sqref="D94">
    <cfRule type="expression" dxfId="14" priority="1">
      <formula>$E94="F"</formula>
    </cfRule>
    <cfRule type="expression" dxfId="13" priority="2">
      <formula>$E94="Q"</formula>
    </cfRule>
  </conditionalFormatting>
  <conditionalFormatting sqref="G5:G64">
    <cfRule type="expression" dxfId="12" priority="51">
      <formula>$E5="R1"</formula>
    </cfRule>
    <cfRule type="expression" dxfId="11" priority="52">
      <formula>$E5="F"</formula>
    </cfRule>
    <cfRule type="expression" dxfId="10" priority="53">
      <formula>$E5="Q"</formula>
    </cfRule>
  </conditionalFormatting>
  <conditionalFormatting sqref="G68:G94">
    <cfRule type="expression" dxfId="9" priority="7">
      <formula>$E68="R1"</formula>
    </cfRule>
    <cfRule type="expression" dxfId="8" priority="8">
      <formula>$E68="F"</formula>
    </cfRule>
    <cfRule type="expression" dxfId="7" priority="9">
      <formula>$E68="Q"</formula>
    </cfRule>
  </conditionalFormatting>
  <conditionalFormatting sqref="I5:I7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:I10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:I12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7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:J10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:J12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7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8:K10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1:K12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L7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8:L10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1:L12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127">
    <cfRule type="cellIs" dxfId="6" priority="65" operator="between">
      <formula>2</formula>
      <formula>2</formula>
    </cfRule>
    <cfRule type="cellIs" dxfId="5" priority="66" operator="between">
      <formula>4</formula>
      <formula>4</formula>
    </cfRule>
    <cfRule type="cellIs" dxfId="4" priority="67" operator="between">
      <formula>6</formula>
      <formula>6</formula>
    </cfRule>
    <cfRule type="cellIs" dxfId="3" priority="68" operator="between">
      <formula>10</formula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Scratch</vt:lpstr>
      <vt:lpstr>Tempo</vt:lpstr>
      <vt:lpstr>Elim</vt:lpstr>
      <vt:lpstr>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2025-09-01T03:48:58Z</dcterms:created>
  <dcterms:modified xsi:type="dcterms:W3CDTF">2026-04-01T00:48:43Z</dcterms:modified>
</cp:coreProperties>
</file>